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qjele\Downloads\"/>
    </mc:Choice>
  </mc:AlternateContent>
  <xr:revisionPtr revIDLastSave="0" documentId="13_ncr:1_{FCDC7AEF-BB08-4BED-8ED0-A348F0FE252C}" xr6:coauthVersionLast="47" xr6:coauthVersionMax="47" xr10:uidLastSave="{00000000-0000-0000-0000-000000000000}"/>
  <bookViews>
    <workbookView xWindow="5738" yWindow="3247" windowWidth="16200" windowHeight="9308" tabRatio="500" xr2:uid="{00000000-000D-0000-FFFF-FFFF00000000}"/>
  </bookViews>
  <sheets>
    <sheet name="펌프동력 계산기" sheetId="1" r:id="rId1"/>
    <sheet name="유속 스윕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9" i="2" l="1"/>
  <c r="S49" i="2"/>
  <c r="R49" i="2"/>
  <c r="O49" i="2"/>
  <c r="P49" i="2" s="1"/>
  <c r="Q49" i="2" s="1"/>
  <c r="K49" i="2"/>
  <c r="L49" i="2" s="1"/>
  <c r="M49" i="2" s="1"/>
  <c r="N49" i="2" s="1"/>
  <c r="G49" i="2"/>
  <c r="H49" i="2" s="1"/>
  <c r="I49" i="2" s="1"/>
  <c r="J49" i="2" s="1"/>
  <c r="T48" i="2"/>
  <c r="S48" i="2"/>
  <c r="R48" i="2"/>
  <c r="O48" i="2"/>
  <c r="P48" i="2" s="1"/>
  <c r="Q48" i="2" s="1"/>
  <c r="K48" i="2"/>
  <c r="L48" i="2" s="1"/>
  <c r="M48" i="2" s="1"/>
  <c r="N48" i="2" s="1"/>
  <c r="C48" i="2"/>
  <c r="D48" i="2" s="1"/>
  <c r="E48" i="2" s="1"/>
  <c r="F48" i="2" s="1"/>
  <c r="B48" i="2"/>
  <c r="T47" i="2"/>
  <c r="S47" i="2"/>
  <c r="R47" i="2"/>
  <c r="P47" i="2"/>
  <c r="Q47" i="2" s="1"/>
  <c r="O47" i="2"/>
  <c r="C47" i="2"/>
  <c r="D47" i="2" s="1"/>
  <c r="E47" i="2" s="1"/>
  <c r="F47" i="2" s="1"/>
  <c r="B47" i="2"/>
  <c r="T46" i="2"/>
  <c r="S46" i="2"/>
  <c r="R46" i="2"/>
  <c r="O46" i="2"/>
  <c r="P46" i="2" s="1"/>
  <c r="Q46" i="2" s="1"/>
  <c r="T45" i="2"/>
  <c r="S45" i="2"/>
  <c r="R45" i="2"/>
  <c r="O45" i="2"/>
  <c r="P45" i="2" s="1"/>
  <c r="Q45" i="2" s="1"/>
  <c r="K45" i="2"/>
  <c r="L45" i="2" s="1"/>
  <c r="M45" i="2" s="1"/>
  <c r="N45" i="2" s="1"/>
  <c r="T44" i="2"/>
  <c r="S44" i="2"/>
  <c r="R44" i="2"/>
  <c r="O44" i="2"/>
  <c r="P44" i="2" s="1"/>
  <c r="Q44" i="2" s="1"/>
  <c r="K44" i="2"/>
  <c r="L44" i="2" s="1"/>
  <c r="M44" i="2" s="1"/>
  <c r="N44" i="2" s="1"/>
  <c r="T43" i="2"/>
  <c r="S43" i="2"/>
  <c r="R43" i="2"/>
  <c r="O43" i="2"/>
  <c r="P43" i="2" s="1"/>
  <c r="Q43" i="2" s="1"/>
  <c r="K43" i="2"/>
  <c r="L43" i="2" s="1"/>
  <c r="M43" i="2" s="1"/>
  <c r="N43" i="2" s="1"/>
  <c r="T42" i="2"/>
  <c r="S42" i="2"/>
  <c r="R42" i="2"/>
  <c r="O42" i="2"/>
  <c r="P42" i="2" s="1"/>
  <c r="Q42" i="2" s="1"/>
  <c r="K42" i="2"/>
  <c r="L42" i="2" s="1"/>
  <c r="M42" i="2" s="1"/>
  <c r="N42" i="2" s="1"/>
  <c r="C42" i="2"/>
  <c r="D42" i="2" s="1"/>
  <c r="E42" i="2" s="1"/>
  <c r="F42" i="2" s="1"/>
  <c r="T41" i="2"/>
  <c r="S41" i="2"/>
  <c r="R41" i="2"/>
  <c r="O41" i="2"/>
  <c r="P41" i="2" s="1"/>
  <c r="Q41" i="2" s="1"/>
  <c r="C41" i="2"/>
  <c r="D41" i="2" s="1"/>
  <c r="E41" i="2" s="1"/>
  <c r="F41" i="2" s="1"/>
  <c r="B41" i="2"/>
  <c r="T40" i="2"/>
  <c r="S40" i="2"/>
  <c r="R40" i="2"/>
  <c r="O40" i="2"/>
  <c r="P40" i="2" s="1"/>
  <c r="Q40" i="2" s="1"/>
  <c r="G40" i="2"/>
  <c r="H40" i="2" s="1"/>
  <c r="I40" i="2" s="1"/>
  <c r="J40" i="2" s="1"/>
  <c r="C40" i="2"/>
  <c r="D40" i="2" s="1"/>
  <c r="E40" i="2" s="1"/>
  <c r="F40" i="2" s="1"/>
  <c r="U40" i="2" s="1"/>
  <c r="V40" i="2" s="1"/>
  <c r="B40" i="2"/>
  <c r="T39" i="2"/>
  <c r="S39" i="2"/>
  <c r="R39" i="2"/>
  <c r="O39" i="2"/>
  <c r="P39" i="2" s="1"/>
  <c r="Q39" i="2" s="1"/>
  <c r="G39" i="2"/>
  <c r="H39" i="2" s="1"/>
  <c r="I39" i="2" s="1"/>
  <c r="J39" i="2" s="1"/>
  <c r="C39" i="2"/>
  <c r="D39" i="2" s="1"/>
  <c r="E39" i="2" s="1"/>
  <c r="F39" i="2" s="1"/>
  <c r="U39" i="2" s="1"/>
  <c r="V39" i="2" s="1"/>
  <c r="B39" i="2"/>
  <c r="T38" i="2"/>
  <c r="S38" i="2"/>
  <c r="R38" i="2"/>
  <c r="O38" i="2"/>
  <c r="P38" i="2" s="1"/>
  <c r="Q38" i="2" s="1"/>
  <c r="G38" i="2"/>
  <c r="H38" i="2" s="1"/>
  <c r="I38" i="2" s="1"/>
  <c r="J38" i="2" s="1"/>
  <c r="C38" i="2"/>
  <c r="D38" i="2" s="1"/>
  <c r="E38" i="2" s="1"/>
  <c r="F38" i="2" s="1"/>
  <c r="U38" i="2" s="1"/>
  <c r="V38" i="2" s="1"/>
  <c r="T37" i="2"/>
  <c r="S37" i="2"/>
  <c r="R37" i="2"/>
  <c r="O37" i="2"/>
  <c r="P37" i="2" s="1"/>
  <c r="Q37" i="2" s="1"/>
  <c r="G37" i="2"/>
  <c r="H37" i="2" s="1"/>
  <c r="I37" i="2" s="1"/>
  <c r="J37" i="2" s="1"/>
  <c r="T36" i="2"/>
  <c r="S36" i="2"/>
  <c r="R36" i="2"/>
  <c r="O36" i="2"/>
  <c r="P36" i="2" s="1"/>
  <c r="Q36" i="2" s="1"/>
  <c r="B36" i="2"/>
  <c r="T35" i="2"/>
  <c r="S35" i="2"/>
  <c r="R35" i="2"/>
  <c r="O35" i="2"/>
  <c r="P35" i="2" s="1"/>
  <c r="Q35" i="2" s="1"/>
  <c r="T34" i="2"/>
  <c r="S34" i="2"/>
  <c r="R34" i="2"/>
  <c r="O34" i="2"/>
  <c r="P34" i="2" s="1"/>
  <c r="Q34" i="2" s="1"/>
  <c r="T33" i="2"/>
  <c r="S33" i="2"/>
  <c r="R33" i="2"/>
  <c r="O33" i="2"/>
  <c r="P33" i="2" s="1"/>
  <c r="Q33" i="2" s="1"/>
  <c r="K33" i="2"/>
  <c r="L33" i="2" s="1"/>
  <c r="M33" i="2" s="1"/>
  <c r="N33" i="2" s="1"/>
  <c r="T32" i="2"/>
  <c r="S32" i="2"/>
  <c r="R32" i="2"/>
  <c r="O32" i="2"/>
  <c r="P32" i="2" s="1"/>
  <c r="Q32" i="2" s="1"/>
  <c r="K32" i="2"/>
  <c r="L32" i="2" s="1"/>
  <c r="M32" i="2" s="1"/>
  <c r="N32" i="2" s="1"/>
  <c r="T31" i="2"/>
  <c r="S31" i="2"/>
  <c r="R31" i="2"/>
  <c r="O31" i="2"/>
  <c r="P31" i="2" s="1"/>
  <c r="Q31" i="2" s="1"/>
  <c r="L31" i="2"/>
  <c r="M31" i="2" s="1"/>
  <c r="N31" i="2" s="1"/>
  <c r="K31" i="2"/>
  <c r="T30" i="2"/>
  <c r="S30" i="2"/>
  <c r="R30" i="2"/>
  <c r="O30" i="2"/>
  <c r="P30" i="2" s="1"/>
  <c r="Q30" i="2" s="1"/>
  <c r="K30" i="2"/>
  <c r="L30" i="2" s="1"/>
  <c r="M30" i="2" s="1"/>
  <c r="N30" i="2" s="1"/>
  <c r="T29" i="2"/>
  <c r="S29" i="2"/>
  <c r="R29" i="2"/>
  <c r="O29" i="2"/>
  <c r="P29" i="2" s="1"/>
  <c r="Q29" i="2" s="1"/>
  <c r="G29" i="2"/>
  <c r="H29" i="2" s="1"/>
  <c r="I29" i="2" s="1"/>
  <c r="J29" i="2" s="1"/>
  <c r="T28" i="2"/>
  <c r="S28" i="2"/>
  <c r="R28" i="2"/>
  <c r="O28" i="2"/>
  <c r="P28" i="2" s="1"/>
  <c r="Q28" i="2" s="1"/>
  <c r="G28" i="2"/>
  <c r="H28" i="2" s="1"/>
  <c r="I28" i="2" s="1"/>
  <c r="J28" i="2" s="1"/>
  <c r="T27" i="2"/>
  <c r="S27" i="2"/>
  <c r="R27" i="2"/>
  <c r="O27" i="2"/>
  <c r="P27" i="2" s="1"/>
  <c r="Q27" i="2" s="1"/>
  <c r="K27" i="2"/>
  <c r="L27" i="2" s="1"/>
  <c r="M27" i="2" s="1"/>
  <c r="N27" i="2" s="1"/>
  <c r="G27" i="2"/>
  <c r="H27" i="2" s="1"/>
  <c r="I27" i="2" s="1"/>
  <c r="J27" i="2" s="1"/>
  <c r="T26" i="2"/>
  <c r="S26" i="2"/>
  <c r="R26" i="2"/>
  <c r="O26" i="2"/>
  <c r="P26" i="2" s="1"/>
  <c r="Q26" i="2" s="1"/>
  <c r="K26" i="2"/>
  <c r="L26" i="2" s="1"/>
  <c r="M26" i="2" s="1"/>
  <c r="N26" i="2" s="1"/>
  <c r="G26" i="2"/>
  <c r="H26" i="2" s="1"/>
  <c r="I26" i="2" s="1"/>
  <c r="J26" i="2" s="1"/>
  <c r="T25" i="2"/>
  <c r="S25" i="2"/>
  <c r="R25" i="2"/>
  <c r="O25" i="2"/>
  <c r="P25" i="2" s="1"/>
  <c r="Q25" i="2" s="1"/>
  <c r="K25" i="2"/>
  <c r="L25" i="2" s="1"/>
  <c r="M25" i="2" s="1"/>
  <c r="N25" i="2" s="1"/>
  <c r="I25" i="2"/>
  <c r="J25" i="2" s="1"/>
  <c r="H25" i="2"/>
  <c r="G25" i="2"/>
  <c r="T24" i="2"/>
  <c r="S24" i="2"/>
  <c r="R24" i="2"/>
  <c r="O24" i="2"/>
  <c r="P24" i="2" s="1"/>
  <c r="Q24" i="2" s="1"/>
  <c r="K24" i="2"/>
  <c r="L24" i="2" s="1"/>
  <c r="M24" i="2" s="1"/>
  <c r="N24" i="2" s="1"/>
  <c r="C24" i="2"/>
  <c r="D24" i="2" s="1"/>
  <c r="E24" i="2" s="1"/>
  <c r="F24" i="2" s="1"/>
  <c r="B24" i="2"/>
  <c r="T23" i="2"/>
  <c r="S23" i="2"/>
  <c r="R23" i="2"/>
  <c r="O23" i="2"/>
  <c r="P23" i="2" s="1"/>
  <c r="Q23" i="2" s="1"/>
  <c r="G23" i="2"/>
  <c r="H23" i="2" s="1"/>
  <c r="I23" i="2" s="1"/>
  <c r="J23" i="2" s="1"/>
  <c r="C23" i="2"/>
  <c r="D23" i="2" s="1"/>
  <c r="E23" i="2" s="1"/>
  <c r="F23" i="2" s="1"/>
  <c r="U23" i="2" s="1"/>
  <c r="V23" i="2" s="1"/>
  <c r="B23" i="2"/>
  <c r="T22" i="2"/>
  <c r="S22" i="2"/>
  <c r="R22" i="2"/>
  <c r="O22" i="2"/>
  <c r="P22" i="2" s="1"/>
  <c r="Q22" i="2" s="1"/>
  <c r="G22" i="2"/>
  <c r="H22" i="2" s="1"/>
  <c r="I22" i="2" s="1"/>
  <c r="J22" i="2" s="1"/>
  <c r="E22" i="2"/>
  <c r="F22" i="2" s="1"/>
  <c r="U22" i="2" s="1"/>
  <c r="V22" i="2" s="1"/>
  <c r="D22" i="2"/>
  <c r="C22" i="2"/>
  <c r="B22" i="2"/>
  <c r="T21" i="2"/>
  <c r="S21" i="2"/>
  <c r="R21" i="2"/>
  <c r="O21" i="2"/>
  <c r="P21" i="2" s="1"/>
  <c r="Q21" i="2" s="1"/>
  <c r="G21" i="2"/>
  <c r="H21" i="2" s="1"/>
  <c r="I21" i="2" s="1"/>
  <c r="J21" i="2" s="1"/>
  <c r="C21" i="2"/>
  <c r="D21" i="2" s="1"/>
  <c r="E21" i="2" s="1"/>
  <c r="F21" i="2" s="1"/>
  <c r="U21" i="2" s="1"/>
  <c r="V21" i="2" s="1"/>
  <c r="B21" i="2"/>
  <c r="T20" i="2"/>
  <c r="S20" i="2"/>
  <c r="R20" i="2"/>
  <c r="O20" i="2"/>
  <c r="P20" i="2" s="1"/>
  <c r="Q20" i="2" s="1"/>
  <c r="G20" i="2"/>
  <c r="H20" i="2" s="1"/>
  <c r="I20" i="2" s="1"/>
  <c r="J20" i="2" s="1"/>
  <c r="C20" i="2"/>
  <c r="D20" i="2" s="1"/>
  <c r="E20" i="2" s="1"/>
  <c r="F20" i="2" s="1"/>
  <c r="U20" i="2" s="1"/>
  <c r="V20" i="2" s="1"/>
  <c r="T19" i="2"/>
  <c r="S19" i="2"/>
  <c r="R19" i="2"/>
  <c r="O19" i="2"/>
  <c r="P19" i="2" s="1"/>
  <c r="Q19" i="2" s="1"/>
  <c r="G19" i="2"/>
  <c r="H19" i="2" s="1"/>
  <c r="I19" i="2" s="1"/>
  <c r="J19" i="2" s="1"/>
  <c r="T18" i="2"/>
  <c r="S18" i="2"/>
  <c r="R18" i="2"/>
  <c r="O18" i="2"/>
  <c r="P18" i="2" s="1"/>
  <c r="Q18" i="2" s="1"/>
  <c r="C18" i="2"/>
  <c r="D18" i="2" s="1"/>
  <c r="E18" i="2" s="1"/>
  <c r="F18" i="2" s="1"/>
  <c r="B18" i="2"/>
  <c r="T17" i="2"/>
  <c r="S17" i="2"/>
  <c r="R17" i="2"/>
  <c r="O17" i="2"/>
  <c r="P17" i="2" s="1"/>
  <c r="Q17" i="2" s="1"/>
  <c r="C17" i="2"/>
  <c r="D17" i="2" s="1"/>
  <c r="E17" i="2" s="1"/>
  <c r="F17" i="2" s="1"/>
  <c r="B17" i="2"/>
  <c r="T16" i="2"/>
  <c r="S16" i="2"/>
  <c r="R16" i="2"/>
  <c r="P16" i="2"/>
  <c r="Q16" i="2" s="1"/>
  <c r="O16" i="2"/>
  <c r="C16" i="2"/>
  <c r="D16" i="2" s="1"/>
  <c r="E16" i="2" s="1"/>
  <c r="F16" i="2" s="1"/>
  <c r="B16" i="2"/>
  <c r="T15" i="2"/>
  <c r="S15" i="2"/>
  <c r="R15" i="2"/>
  <c r="O15" i="2"/>
  <c r="P15" i="2" s="1"/>
  <c r="Q15" i="2" s="1"/>
  <c r="C15" i="2"/>
  <c r="D15" i="2" s="1"/>
  <c r="E15" i="2" s="1"/>
  <c r="F15" i="2" s="1"/>
  <c r="B15" i="2"/>
  <c r="T14" i="2"/>
  <c r="S14" i="2"/>
  <c r="R14" i="2"/>
  <c r="O14" i="2"/>
  <c r="P14" i="2" s="1"/>
  <c r="Q14" i="2" s="1"/>
  <c r="C14" i="2"/>
  <c r="D14" i="2" s="1"/>
  <c r="E14" i="2" s="1"/>
  <c r="F14" i="2" s="1"/>
  <c r="T13" i="2"/>
  <c r="S13" i="2"/>
  <c r="R13" i="2"/>
  <c r="O13" i="2"/>
  <c r="P13" i="2" s="1"/>
  <c r="Q13" i="2" s="1"/>
  <c r="T12" i="2"/>
  <c r="S12" i="2"/>
  <c r="R12" i="2"/>
  <c r="O12" i="2"/>
  <c r="P12" i="2" s="1"/>
  <c r="Q12" i="2" s="1"/>
  <c r="T11" i="2"/>
  <c r="S11" i="2"/>
  <c r="R11" i="2"/>
  <c r="O11" i="2"/>
  <c r="P11" i="2" s="1"/>
  <c r="Q11" i="2" s="1"/>
  <c r="T10" i="2"/>
  <c r="S10" i="2"/>
  <c r="R10" i="2"/>
  <c r="O10" i="2"/>
  <c r="P10" i="2" s="1"/>
  <c r="Q10" i="2" s="1"/>
  <c r="G10" i="2"/>
  <c r="H10" i="2" s="1"/>
  <c r="I10" i="2" s="1"/>
  <c r="J10" i="2" s="1"/>
  <c r="T9" i="2"/>
  <c r="S9" i="2"/>
  <c r="R9" i="2"/>
  <c r="O9" i="2"/>
  <c r="P9" i="2" s="1"/>
  <c r="Q9" i="2" s="1"/>
  <c r="K9" i="2"/>
  <c r="L9" i="2" s="1"/>
  <c r="M9" i="2" s="1"/>
  <c r="N9" i="2" s="1"/>
  <c r="G9" i="2"/>
  <c r="H9" i="2" s="1"/>
  <c r="I9" i="2" s="1"/>
  <c r="J9" i="2" s="1"/>
  <c r="T8" i="2"/>
  <c r="S8" i="2"/>
  <c r="R8" i="2"/>
  <c r="O8" i="2"/>
  <c r="P8" i="2" s="1"/>
  <c r="Q8" i="2" s="1"/>
  <c r="K8" i="2"/>
  <c r="L8" i="2" s="1"/>
  <c r="M8" i="2" s="1"/>
  <c r="N8" i="2" s="1"/>
  <c r="T7" i="2"/>
  <c r="S7" i="2"/>
  <c r="R7" i="2"/>
  <c r="O7" i="2"/>
  <c r="P7" i="2" s="1"/>
  <c r="Q7" i="2" s="1"/>
  <c r="K7" i="2"/>
  <c r="L7" i="2" s="1"/>
  <c r="M7" i="2" s="1"/>
  <c r="N7" i="2" s="1"/>
  <c r="T6" i="2"/>
  <c r="S6" i="2"/>
  <c r="R6" i="2"/>
  <c r="O6" i="2"/>
  <c r="P6" i="2" s="1"/>
  <c r="Q6" i="2" s="1"/>
  <c r="K6" i="2"/>
  <c r="L6" i="2" s="1"/>
  <c r="M6" i="2" s="1"/>
  <c r="N6" i="2" s="1"/>
  <c r="T5" i="2"/>
  <c r="S5" i="2"/>
  <c r="R5" i="2"/>
  <c r="O5" i="2"/>
  <c r="P5" i="2" s="1"/>
  <c r="Q5" i="2" s="1"/>
  <c r="G5" i="2"/>
  <c r="H5" i="2" s="1"/>
  <c r="I5" i="2" s="1"/>
  <c r="J5" i="2" s="1"/>
  <c r="C5" i="2"/>
  <c r="D5" i="2" s="1"/>
  <c r="E5" i="2" s="1"/>
  <c r="F5" i="2" s="1"/>
  <c r="U5" i="2" s="1"/>
  <c r="T4" i="2"/>
  <c r="S4" i="2"/>
  <c r="R4" i="2"/>
  <c r="O4" i="2"/>
  <c r="P4" i="2" s="1"/>
  <c r="Q4" i="2" s="1"/>
  <c r="G4" i="2"/>
  <c r="H4" i="2" s="1"/>
  <c r="I4" i="2" s="1"/>
  <c r="J4" i="2" s="1"/>
  <c r="C4" i="2"/>
  <c r="D4" i="2" s="1"/>
  <c r="E4" i="2" s="1"/>
  <c r="F4" i="2" s="1"/>
  <c r="U4" i="2" s="1"/>
  <c r="B4" i="2"/>
  <c r="T3" i="2"/>
  <c r="S3" i="2"/>
  <c r="R3" i="2"/>
  <c r="O3" i="2"/>
  <c r="P3" i="2" s="1"/>
  <c r="Q3" i="2" s="1"/>
  <c r="K3" i="2"/>
  <c r="L3" i="2" s="1"/>
  <c r="M3" i="2" s="1"/>
  <c r="N3" i="2" s="1"/>
  <c r="H3" i="2"/>
  <c r="I3" i="2" s="1"/>
  <c r="J3" i="2" s="1"/>
  <c r="G3" i="2"/>
  <c r="C3" i="2"/>
  <c r="D3" i="2" s="1"/>
  <c r="E3" i="2" s="1"/>
  <c r="F3" i="2" s="1"/>
  <c r="B3" i="2"/>
  <c r="T2" i="2"/>
  <c r="S2" i="2"/>
  <c r="R2" i="2"/>
  <c r="O2" i="2"/>
  <c r="P2" i="2" s="1"/>
  <c r="Q2" i="2" s="1"/>
  <c r="K2" i="2"/>
  <c r="L2" i="2" s="1"/>
  <c r="M2" i="2" s="1"/>
  <c r="N2" i="2" s="1"/>
  <c r="G2" i="2"/>
  <c r="H2" i="2" s="1"/>
  <c r="I2" i="2" s="1"/>
  <c r="J2" i="2" s="1"/>
  <c r="B34" i="1"/>
  <c r="B33" i="1"/>
  <c r="C28" i="1"/>
  <c r="C27" i="1"/>
  <c r="C26" i="1"/>
  <c r="C25" i="1"/>
  <c r="B18" i="1"/>
  <c r="B17" i="1"/>
  <c r="K36" i="2" s="1"/>
  <c r="L36" i="2" s="1"/>
  <c r="M36" i="2" s="1"/>
  <c r="N36" i="2" s="1"/>
  <c r="B15" i="1"/>
  <c r="U3" i="2" l="1"/>
  <c r="U18" i="2"/>
  <c r="V18" i="2" s="1"/>
  <c r="U24" i="2"/>
  <c r="C32" i="2"/>
  <c r="D32" i="2" s="1"/>
  <c r="E32" i="2" s="1"/>
  <c r="F32" i="2" s="1"/>
  <c r="U32" i="2" s="1"/>
  <c r="V32" i="2" s="1"/>
  <c r="B12" i="2"/>
  <c r="K18" i="2"/>
  <c r="L18" i="2" s="1"/>
  <c r="M18" i="2" s="1"/>
  <c r="N18" i="2" s="1"/>
  <c r="B33" i="2"/>
  <c r="B45" i="2"/>
  <c r="V9" i="2"/>
  <c r="C33" i="2"/>
  <c r="D33" i="2" s="1"/>
  <c r="E33" i="2" s="1"/>
  <c r="F33" i="2" s="1"/>
  <c r="K37" i="2"/>
  <c r="L37" i="2" s="1"/>
  <c r="M37" i="2" s="1"/>
  <c r="N37" i="2" s="1"/>
  <c r="B9" i="2"/>
  <c r="C9" i="2"/>
  <c r="D9" i="2" s="1"/>
  <c r="E9" i="2" s="1"/>
  <c r="F9" i="2" s="1"/>
  <c r="U9" i="2" s="1"/>
  <c r="C10" i="2"/>
  <c r="D10" i="2" s="1"/>
  <c r="E10" i="2" s="1"/>
  <c r="F10" i="2" s="1"/>
  <c r="U10" i="2" s="1"/>
  <c r="V10" i="2" s="1"/>
  <c r="B30" i="2"/>
  <c r="G31" i="2"/>
  <c r="H31" i="2" s="1"/>
  <c r="I31" i="2" s="1"/>
  <c r="J31" i="2" s="1"/>
  <c r="G32" i="2"/>
  <c r="H32" i="2" s="1"/>
  <c r="I32" i="2" s="1"/>
  <c r="J32" i="2" s="1"/>
  <c r="V49" i="2"/>
  <c r="G48" i="2"/>
  <c r="H48" i="2" s="1"/>
  <c r="I48" i="2" s="1"/>
  <c r="J48" i="2" s="1"/>
  <c r="U48" i="2" s="1"/>
  <c r="V48" i="2" s="1"/>
  <c r="G42" i="2"/>
  <c r="H42" i="2" s="1"/>
  <c r="I42" i="2" s="1"/>
  <c r="J42" i="2" s="1"/>
  <c r="U42" i="2" s="1"/>
  <c r="V42" i="2" s="1"/>
  <c r="V37" i="2"/>
  <c r="G36" i="2"/>
  <c r="H36" i="2" s="1"/>
  <c r="I36" i="2" s="1"/>
  <c r="J36" i="2" s="1"/>
  <c r="G30" i="2"/>
  <c r="H30" i="2" s="1"/>
  <c r="I30" i="2" s="1"/>
  <c r="J30" i="2" s="1"/>
  <c r="G24" i="2"/>
  <c r="H24" i="2" s="1"/>
  <c r="I24" i="2" s="1"/>
  <c r="J24" i="2" s="1"/>
  <c r="G18" i="2"/>
  <c r="H18" i="2" s="1"/>
  <c r="I18" i="2" s="1"/>
  <c r="J18" i="2" s="1"/>
  <c r="G12" i="2"/>
  <c r="H12" i="2" s="1"/>
  <c r="I12" i="2" s="1"/>
  <c r="J12" i="2" s="1"/>
  <c r="G6" i="2"/>
  <c r="H6" i="2" s="1"/>
  <c r="I6" i="2" s="1"/>
  <c r="J6" i="2" s="1"/>
  <c r="B37" i="2"/>
  <c r="B31" i="2"/>
  <c r="K28" i="2"/>
  <c r="L28" i="2" s="1"/>
  <c r="M28" i="2" s="1"/>
  <c r="N28" i="2" s="1"/>
  <c r="B25" i="2"/>
  <c r="K22" i="2"/>
  <c r="L22" i="2" s="1"/>
  <c r="M22" i="2" s="1"/>
  <c r="N22" i="2" s="1"/>
  <c r="B19" i="2"/>
  <c r="B13" i="2"/>
  <c r="K10" i="2"/>
  <c r="L10" i="2" s="1"/>
  <c r="M10" i="2" s="1"/>
  <c r="N10" i="2" s="1"/>
  <c r="G41" i="2"/>
  <c r="H41" i="2" s="1"/>
  <c r="I41" i="2" s="1"/>
  <c r="J41" i="2" s="1"/>
  <c r="U41" i="2" s="1"/>
  <c r="V41" i="2" s="1"/>
  <c r="C49" i="2"/>
  <c r="D49" i="2" s="1"/>
  <c r="E49" i="2" s="1"/>
  <c r="F49" i="2" s="1"/>
  <c r="U49" i="2" s="1"/>
  <c r="C43" i="2"/>
  <c r="D43" i="2" s="1"/>
  <c r="E43" i="2" s="1"/>
  <c r="F43" i="2" s="1"/>
  <c r="C37" i="2"/>
  <c r="D37" i="2" s="1"/>
  <c r="E37" i="2" s="1"/>
  <c r="F37" i="2" s="1"/>
  <c r="U37" i="2" s="1"/>
  <c r="C31" i="2"/>
  <c r="D31" i="2" s="1"/>
  <c r="E31" i="2" s="1"/>
  <c r="F31" i="2" s="1"/>
  <c r="C25" i="2"/>
  <c r="D25" i="2" s="1"/>
  <c r="E25" i="2" s="1"/>
  <c r="F25" i="2" s="1"/>
  <c r="U25" i="2" s="1"/>
  <c r="V25" i="2" s="1"/>
  <c r="C19" i="2"/>
  <c r="D19" i="2" s="1"/>
  <c r="E19" i="2" s="1"/>
  <c r="F19" i="2" s="1"/>
  <c r="U19" i="2" s="1"/>
  <c r="V19" i="2" s="1"/>
  <c r="C13" i="2"/>
  <c r="D13" i="2" s="1"/>
  <c r="E13" i="2" s="1"/>
  <c r="F13" i="2" s="1"/>
  <c r="C7" i="2"/>
  <c r="D7" i="2" s="1"/>
  <c r="E7" i="2" s="1"/>
  <c r="F7" i="2" s="1"/>
  <c r="U7" i="2" s="1"/>
  <c r="V7" i="2" s="1"/>
  <c r="B49" i="2"/>
  <c r="K46" i="2"/>
  <c r="L46" i="2" s="1"/>
  <c r="M46" i="2" s="1"/>
  <c r="N46" i="2" s="1"/>
  <c r="B43" i="2"/>
  <c r="K40" i="2"/>
  <c r="L40" i="2" s="1"/>
  <c r="M40" i="2" s="1"/>
  <c r="N40" i="2" s="1"/>
  <c r="K34" i="2"/>
  <c r="L34" i="2" s="1"/>
  <c r="M34" i="2" s="1"/>
  <c r="N34" i="2" s="1"/>
  <c r="K16" i="2"/>
  <c r="L16" i="2" s="1"/>
  <c r="M16" i="2" s="1"/>
  <c r="N16" i="2" s="1"/>
  <c r="B7" i="2"/>
  <c r="K4" i="2"/>
  <c r="L4" i="2" s="1"/>
  <c r="M4" i="2" s="1"/>
  <c r="N4" i="2" s="1"/>
  <c r="K47" i="2"/>
  <c r="L47" i="2" s="1"/>
  <c r="M47" i="2" s="1"/>
  <c r="N47" i="2" s="1"/>
  <c r="B44" i="2"/>
  <c r="K41" i="2"/>
  <c r="L41" i="2" s="1"/>
  <c r="M41" i="2" s="1"/>
  <c r="N41" i="2" s="1"/>
  <c r="B38" i="2"/>
  <c r="K35" i="2"/>
  <c r="L35" i="2" s="1"/>
  <c r="M35" i="2" s="1"/>
  <c r="N35" i="2" s="1"/>
  <c r="B32" i="2"/>
  <c r="K29" i="2"/>
  <c r="L29" i="2" s="1"/>
  <c r="M29" i="2" s="1"/>
  <c r="N29" i="2" s="1"/>
  <c r="B26" i="2"/>
  <c r="K23" i="2"/>
  <c r="L23" i="2" s="1"/>
  <c r="M23" i="2" s="1"/>
  <c r="N23" i="2" s="1"/>
  <c r="B20" i="2"/>
  <c r="K17" i="2"/>
  <c r="L17" i="2" s="1"/>
  <c r="M17" i="2" s="1"/>
  <c r="N17" i="2" s="1"/>
  <c r="B14" i="2"/>
  <c r="K11" i="2"/>
  <c r="L11" i="2" s="1"/>
  <c r="M11" i="2" s="1"/>
  <c r="N11" i="2" s="1"/>
  <c r="B8" i="2"/>
  <c r="K5" i="2"/>
  <c r="L5" i="2" s="1"/>
  <c r="M5" i="2" s="1"/>
  <c r="N5" i="2" s="1"/>
  <c r="B2" i="2"/>
  <c r="K20" i="2"/>
  <c r="L20" i="2" s="1"/>
  <c r="M20" i="2" s="1"/>
  <c r="N20" i="2" s="1"/>
  <c r="C36" i="2"/>
  <c r="D36" i="2" s="1"/>
  <c r="E36" i="2" s="1"/>
  <c r="F36" i="2" s="1"/>
  <c r="C35" i="2"/>
  <c r="D35" i="2" s="1"/>
  <c r="E35" i="2" s="1"/>
  <c r="F35" i="2" s="1"/>
  <c r="U35" i="2" s="1"/>
  <c r="V35" i="2" s="1"/>
  <c r="C46" i="2"/>
  <c r="D46" i="2" s="1"/>
  <c r="E46" i="2" s="1"/>
  <c r="F46" i="2" s="1"/>
  <c r="C8" i="2"/>
  <c r="D8" i="2" s="1"/>
  <c r="E8" i="2" s="1"/>
  <c r="F8" i="2" s="1"/>
  <c r="U8" i="2" s="1"/>
  <c r="C12" i="2"/>
  <c r="D12" i="2" s="1"/>
  <c r="E12" i="2" s="1"/>
  <c r="F12" i="2" s="1"/>
  <c r="U12" i="2" s="1"/>
  <c r="V12" i="2" s="1"/>
  <c r="K21" i="2"/>
  <c r="L21" i="2" s="1"/>
  <c r="M21" i="2" s="1"/>
  <c r="N21" i="2" s="1"/>
  <c r="C45" i="2"/>
  <c r="D45" i="2" s="1"/>
  <c r="E45" i="2" s="1"/>
  <c r="F45" i="2" s="1"/>
  <c r="G15" i="2"/>
  <c r="H15" i="2" s="1"/>
  <c r="I15" i="2" s="1"/>
  <c r="J15" i="2" s="1"/>
  <c r="U15" i="2" s="1"/>
  <c r="V15" i="2" s="1"/>
  <c r="V29" i="2"/>
  <c r="V5" i="2"/>
  <c r="K13" i="2"/>
  <c r="L13" i="2" s="1"/>
  <c r="M13" i="2" s="1"/>
  <c r="N13" i="2" s="1"/>
  <c r="K14" i="2"/>
  <c r="L14" i="2" s="1"/>
  <c r="M14" i="2" s="1"/>
  <c r="N14" i="2" s="1"/>
  <c r="C26" i="2"/>
  <c r="D26" i="2" s="1"/>
  <c r="E26" i="2" s="1"/>
  <c r="F26" i="2" s="1"/>
  <c r="U26" i="2" s="1"/>
  <c r="V26" i="2"/>
  <c r="V27" i="2"/>
  <c r="B29" i="2"/>
  <c r="C30" i="2"/>
  <c r="D30" i="2" s="1"/>
  <c r="E30" i="2" s="1"/>
  <c r="F30" i="2" s="1"/>
  <c r="G35" i="2"/>
  <c r="H35" i="2" s="1"/>
  <c r="I35" i="2" s="1"/>
  <c r="J35" i="2" s="1"/>
  <c r="G43" i="2"/>
  <c r="H43" i="2" s="1"/>
  <c r="I43" i="2" s="1"/>
  <c r="J43" i="2" s="1"/>
  <c r="G44" i="2"/>
  <c r="H44" i="2" s="1"/>
  <c r="I44" i="2" s="1"/>
  <c r="J44" i="2" s="1"/>
  <c r="G46" i="2"/>
  <c r="H46" i="2" s="1"/>
  <c r="I46" i="2" s="1"/>
  <c r="J46" i="2" s="1"/>
  <c r="K19" i="2"/>
  <c r="L19" i="2" s="1"/>
  <c r="M19" i="2" s="1"/>
  <c r="N19" i="2" s="1"/>
  <c r="B35" i="2"/>
  <c r="B46" i="2"/>
  <c r="G13" i="2"/>
  <c r="H13" i="2" s="1"/>
  <c r="I13" i="2" s="1"/>
  <c r="J13" i="2" s="1"/>
  <c r="B34" i="2"/>
  <c r="B19" i="1"/>
  <c r="V8" i="2"/>
  <c r="G17" i="2"/>
  <c r="H17" i="2" s="1"/>
  <c r="I17" i="2" s="1"/>
  <c r="J17" i="2" s="1"/>
  <c r="U17" i="2" s="1"/>
  <c r="V17" i="2" s="1"/>
  <c r="C34" i="2"/>
  <c r="D34" i="2" s="1"/>
  <c r="E34" i="2" s="1"/>
  <c r="F34" i="2" s="1"/>
  <c r="U34" i="2" s="1"/>
  <c r="V34" i="2" s="1"/>
  <c r="K38" i="2"/>
  <c r="L38" i="2" s="1"/>
  <c r="M38" i="2" s="1"/>
  <c r="N38" i="2" s="1"/>
  <c r="B10" i="2"/>
  <c r="G16" i="2"/>
  <c r="H16" i="2" s="1"/>
  <c r="I16" i="2" s="1"/>
  <c r="J16" i="2" s="1"/>
  <c r="U16" i="2" s="1"/>
  <c r="V16" i="2" s="1"/>
  <c r="G47" i="2"/>
  <c r="H47" i="2" s="1"/>
  <c r="I47" i="2" s="1"/>
  <c r="J47" i="2" s="1"/>
  <c r="U47" i="2" s="1"/>
  <c r="V47" i="2" s="1"/>
  <c r="V4" i="2"/>
  <c r="B6" i="2"/>
  <c r="G7" i="2"/>
  <c r="H7" i="2" s="1"/>
  <c r="I7" i="2" s="1"/>
  <c r="J7" i="2" s="1"/>
  <c r="G8" i="2"/>
  <c r="H8" i="2" s="1"/>
  <c r="I8" i="2" s="1"/>
  <c r="J8" i="2" s="1"/>
  <c r="K12" i="2"/>
  <c r="L12" i="2" s="1"/>
  <c r="M12" i="2" s="1"/>
  <c r="N12" i="2" s="1"/>
  <c r="B27" i="2"/>
  <c r="B28" i="2"/>
  <c r="C29" i="2"/>
  <c r="D29" i="2" s="1"/>
  <c r="E29" i="2" s="1"/>
  <c r="F29" i="2" s="1"/>
  <c r="U29" i="2" s="1"/>
  <c r="G33" i="2"/>
  <c r="H33" i="2" s="1"/>
  <c r="I33" i="2" s="1"/>
  <c r="J33" i="2" s="1"/>
  <c r="G34" i="2"/>
  <c r="H34" i="2" s="1"/>
  <c r="I34" i="2" s="1"/>
  <c r="J34" i="2" s="1"/>
  <c r="G45" i="2"/>
  <c r="H45" i="2" s="1"/>
  <c r="I45" i="2" s="1"/>
  <c r="J45" i="2" s="1"/>
  <c r="G14" i="2"/>
  <c r="H14" i="2" s="1"/>
  <c r="I14" i="2" s="1"/>
  <c r="J14" i="2" s="1"/>
  <c r="U14" i="2" s="1"/>
  <c r="V14" i="2" s="1"/>
  <c r="C44" i="2"/>
  <c r="D44" i="2" s="1"/>
  <c r="E44" i="2" s="1"/>
  <c r="F44" i="2" s="1"/>
  <c r="U44" i="2" s="1"/>
  <c r="V44" i="2" s="1"/>
  <c r="B11" i="2"/>
  <c r="C11" i="2"/>
  <c r="D11" i="2" s="1"/>
  <c r="E11" i="2" s="1"/>
  <c r="F11" i="2" s="1"/>
  <c r="U11" i="2" s="1"/>
  <c r="V11" i="2" s="1"/>
  <c r="K39" i="2"/>
  <c r="L39" i="2" s="1"/>
  <c r="M39" i="2" s="1"/>
  <c r="N39" i="2" s="1"/>
  <c r="C2" i="2"/>
  <c r="D2" i="2" s="1"/>
  <c r="E2" i="2" s="1"/>
  <c r="F2" i="2" s="1"/>
  <c r="U2" i="2" s="1"/>
  <c r="V2" i="2"/>
  <c r="V3" i="2"/>
  <c r="B5" i="2"/>
  <c r="C6" i="2"/>
  <c r="D6" i="2" s="1"/>
  <c r="E6" i="2" s="1"/>
  <c r="F6" i="2" s="1"/>
  <c r="G11" i="2"/>
  <c r="H11" i="2" s="1"/>
  <c r="I11" i="2" s="1"/>
  <c r="J11" i="2" s="1"/>
  <c r="K15" i="2"/>
  <c r="L15" i="2" s="1"/>
  <c r="M15" i="2" s="1"/>
  <c r="N15" i="2" s="1"/>
  <c r="V24" i="2"/>
  <c r="C27" i="2"/>
  <c r="D27" i="2" s="1"/>
  <c r="E27" i="2" s="1"/>
  <c r="F27" i="2" s="1"/>
  <c r="U27" i="2" s="1"/>
  <c r="C28" i="2"/>
  <c r="D28" i="2" s="1"/>
  <c r="E28" i="2" s="1"/>
  <c r="F28" i="2" s="1"/>
  <c r="U28" i="2" s="1"/>
  <c r="V28" i="2" s="1"/>
  <c r="B42" i="2"/>
  <c r="E26" i="1" l="1"/>
  <c r="F26" i="1" s="1"/>
  <c r="G26" i="1" s="1"/>
  <c r="H26" i="1" s="1"/>
  <c r="B20" i="1"/>
  <c r="E28" i="1"/>
  <c r="F28" i="1" s="1"/>
  <c r="G28" i="1" s="1"/>
  <c r="E25" i="1"/>
  <c r="F25" i="1" s="1"/>
  <c r="G25" i="1" s="1"/>
  <c r="H25" i="1" s="1"/>
  <c r="B31" i="1" s="1"/>
  <c r="B35" i="1" s="1"/>
  <c r="B38" i="1" s="1"/>
  <c r="E27" i="1"/>
  <c r="F27" i="1" s="1"/>
  <c r="G27" i="1" s="1"/>
  <c r="U6" i="2"/>
  <c r="V6" i="2" s="1"/>
  <c r="U30" i="2"/>
  <c r="V30" i="2" s="1"/>
  <c r="U33" i="2"/>
  <c r="V33" i="2" s="1"/>
  <c r="U45" i="2"/>
  <c r="V45" i="2" s="1"/>
  <c r="U13" i="2"/>
  <c r="V13" i="2" s="1"/>
  <c r="U46" i="2"/>
  <c r="V46" i="2" s="1"/>
  <c r="U31" i="2"/>
  <c r="V31" i="2" s="1"/>
  <c r="U43" i="2"/>
  <c r="V43" i="2" s="1"/>
  <c r="U36" i="2"/>
  <c r="V36" i="2" s="1"/>
  <c r="B39" i="1" l="1"/>
  <c r="B40" i="1" s="1"/>
  <c r="B41" i="1" s="1"/>
  <c r="B21" i="1"/>
</calcChain>
</file>

<file path=xl/sharedStrings.xml><?xml version="1.0" encoding="utf-8"?>
<sst xmlns="http://schemas.openxmlformats.org/spreadsheetml/2006/main" count="103" uniqueCount="90">
  <si>
    <t>주유소 배관 시스템 — 펌프 전력 계산기 (디스펜서 4대 동시 운전)</t>
  </si>
  <si>
    <t>노란 셀(노즐 유속)을 바꾸면 펌프 전력이 자동 재계산됩니다.  ※파란 글씨=입력값, 검정=수식</t>
  </si>
  <si>
    <t>■ 입력값 (수정 가능)</t>
  </si>
  <si>
    <t>노즐 유속  u_n</t>
  </si>
  <si>
    <t>m/s</t>
  </si>
  <si>
    <t>◄ 이 값을 바꾸세요</t>
  </si>
  <si>
    <t>액체 밀도  ρ</t>
  </si>
  <si>
    <t>kg/m³</t>
  </si>
  <si>
    <t>휘발유 15°C</t>
  </si>
  <si>
    <t>액체 점도  μ</t>
  </si>
  <si>
    <t>Pa·s</t>
  </si>
  <si>
    <t>0.6 mPa·s</t>
  </si>
  <si>
    <t>중력가속도  g</t>
  </si>
  <si>
    <t>m/s²</t>
  </si>
  <si>
    <t>펌프 효율  η</t>
  </si>
  <si>
    <t>-</t>
  </si>
  <si>
    <t>SK 주유소</t>
  </si>
  <si>
    <t>매설관 내경  D_b</t>
  </si>
  <si>
    <t>m</t>
  </si>
  <si>
    <t>2 inch</t>
  </si>
  <si>
    <t>노즐·디스펜서 내경  D_n</t>
  </si>
  <si>
    <t>17 mm</t>
  </si>
  <si>
    <t>관 조도  ε</t>
  </si>
  <si>
    <t>HDPE 0.0015 mm</t>
  </si>
  <si>
    <t>급축소 계수  K_c</t>
  </si>
  <si>
    <t>2"-&gt;17mm</t>
  </si>
  <si>
    <t>순 양정  Δz</t>
  </si>
  <si>
    <t>탱크액면 -&gt; 토출</t>
  </si>
  <si>
    <t xml:space="preserve">레이놀즈 수, Re  </t>
  </si>
  <si>
    <t>[-]</t>
  </si>
  <si>
    <t>■ 기준 유량</t>
  </si>
  <si>
    <t>노즐 단면적  A_n</t>
  </si>
  <si>
    <t>m²</t>
  </si>
  <si>
    <t>매설관 단면적  A_b</t>
  </si>
  <si>
    <t>노즐 1개 유량  Q_n</t>
  </si>
  <si>
    <t>m³/s</t>
  </si>
  <si>
    <t>총 유량  Q_total</t>
  </si>
  <si>
    <t>Pipe A 유량배수 × Q_n</t>
  </si>
  <si>
    <t>L/s</t>
  </si>
  <si>
    <t>4 × 0.5414</t>
  </si>
  <si>
    <t>■ 구간별 마찰손실 (최원거리 경로: A→C→D→디스펜서)</t>
  </si>
  <si>
    <t>구간</t>
  </si>
  <si>
    <t>길이 L (m)</t>
  </si>
  <si>
    <t>직경 D (m)</t>
  </si>
  <si>
    <t>유량배수</t>
  </si>
  <si>
    <t>유속 u (m/s)</t>
  </si>
  <si>
    <t>Re</t>
  </si>
  <si>
    <t>f_F</t>
  </si>
  <si>
    <t>F (J/kg)</t>
  </si>
  <si>
    <t>Pipe A</t>
  </si>
  <si>
    <t>Pipe C</t>
  </si>
  <si>
    <t>Pipe D(4개)</t>
  </si>
  <si>
    <t>노즐·디스펜서(4개)</t>
  </si>
  <si>
    <t>■ 손실·수두 합산</t>
  </si>
  <si>
    <t>구간 마찰손실 합  ΣF</t>
  </si>
  <si>
    <t>J/kg</t>
  </si>
  <si>
    <t>급축소 손실(4개)</t>
  </si>
  <si>
    <t>출구 속도수두</t>
  </si>
  <si>
    <t>위치수두  g·Δz</t>
  </si>
  <si>
    <t>펌프 일  w_pump</t>
  </si>
  <si>
    <t>■ 결과</t>
  </si>
  <si>
    <t>펌프 양정  H</t>
  </si>
  <si>
    <t>질량유량  ṁ</t>
  </si>
  <si>
    <t>kg/s</t>
  </si>
  <si>
    <t>유체 전달동력  P_fluid</t>
  </si>
  <si>
    <t>W</t>
  </si>
  <si>
    <t>펌프 전력  P_pump</t>
  </si>
  <si>
    <t>← 최종 결과</t>
  </si>
  <si>
    <t>노즐유속 u_n</t>
  </si>
  <si>
    <t>Q_total (L/s)</t>
  </si>
  <si>
    <t>u_A</t>
  </si>
  <si>
    <t>Re_A</t>
  </si>
  <si>
    <t>f_A</t>
  </si>
  <si>
    <t>F_A</t>
  </si>
  <si>
    <t>u_C</t>
  </si>
  <si>
    <t>Re_C</t>
  </si>
  <si>
    <t>f_C</t>
  </si>
  <si>
    <t>F_C</t>
  </si>
  <si>
    <t>u_D</t>
  </si>
  <si>
    <t>Re_D</t>
  </si>
  <si>
    <t>f_D</t>
  </si>
  <si>
    <t>F_D</t>
  </si>
  <si>
    <t>Re_n</t>
  </si>
  <si>
    <t>f_n</t>
  </si>
  <si>
    <t>F_n</t>
  </si>
  <si>
    <t>급축소</t>
  </si>
  <si>
    <t>속도수두</t>
  </si>
  <si>
    <t>위치수두</t>
  </si>
  <si>
    <t>w_pump</t>
  </si>
  <si>
    <t>P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</si>
</sst>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000"/>
    <numFmt numFmtId="178" formatCode="0.0000000"/>
    <numFmt numFmtId="179" formatCode="0.000"/>
    <numFmt numFmtId="180" formatCode="0.0"/>
  </numFmts>
  <fonts count="13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color rgb="FF000000"/>
      <name val="Noto Sans CJK SC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b/>
      <sz val="11"/>
      <color rgb="FF006100"/>
      <name val="Noto Sans CJK SC"/>
      <family val="2"/>
    </font>
    <font>
      <sz val="11"/>
      <color rgb="FF000000"/>
      <name val="Noto Sans CJK SC"/>
      <family val="2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6CC"/>
        <bgColor rgb="FFFFFFFF"/>
      </patternFill>
    </fill>
    <fill>
      <patternFill patternType="solid">
        <fgColor rgb="FFC6EFCE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1" xfId="0" applyFont="1" applyBorder="1"/>
    <xf numFmtId="0" fontId="7" fillId="0" borderId="1" xfId="0" applyFont="1" applyBorder="1"/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1" fontId="8" fillId="0" borderId="1" xfId="0" applyNumberFormat="1" applyFont="1" applyBorder="1"/>
    <xf numFmtId="1" fontId="7" fillId="0" borderId="1" xfId="0" applyNumberFormat="1" applyFont="1" applyBorder="1"/>
    <xf numFmtId="2" fontId="7" fillId="0" borderId="1" xfId="0" applyNumberFormat="1" applyFont="1" applyBorder="1"/>
    <xf numFmtId="2" fontId="9" fillId="5" borderId="1" xfId="0" applyNumberFormat="1" applyFont="1" applyFill="1" applyBorder="1"/>
    <xf numFmtId="0" fontId="8" fillId="0" borderId="0" xfId="0" applyFont="1"/>
    <xf numFmtId="1" fontId="7" fillId="0" borderId="0" xfId="0" applyNumberFormat="1" applyFont="1"/>
    <xf numFmtId="2" fontId="7" fillId="0" borderId="0" xfId="0" applyNumberFormat="1" applyFont="1"/>
    <xf numFmtId="0" fontId="11" fillId="0" borderId="2" xfId="0" applyFont="1" applyBorder="1"/>
    <xf numFmtId="0" fontId="7" fillId="0" borderId="2" xfId="0" applyFont="1" applyBorder="1"/>
    <xf numFmtId="176" fontId="8" fillId="3" borderId="1" xfId="0" applyNumberFormat="1" applyFont="1" applyFill="1" applyBorder="1"/>
    <xf numFmtId="176" fontId="8" fillId="4" borderId="1" xfId="0" applyNumberFormat="1" applyFont="1" applyFill="1" applyBorder="1"/>
    <xf numFmtId="177" fontId="8" fillId="4" borderId="1" xfId="0" applyNumberFormat="1" applyFont="1" applyFill="1" applyBorder="1"/>
    <xf numFmtId="178" fontId="7" fillId="0" borderId="1" xfId="0" applyNumberFormat="1" applyFont="1" applyBorder="1"/>
    <xf numFmtId="179" fontId="7" fillId="0" borderId="1" xfId="0" applyNumberFormat="1" applyFont="1" applyBorder="1"/>
    <xf numFmtId="180" fontId="8" fillId="0" borderId="1" xfId="0" applyNumberFormat="1" applyFont="1" applyBorder="1"/>
    <xf numFmtId="176" fontId="7" fillId="0" borderId="1" xfId="0" applyNumberFormat="1" applyFont="1" applyBorder="1"/>
    <xf numFmtId="179" fontId="9" fillId="5" borderId="1" xfId="0" applyNumberFormat="1" applyFont="1" applyFill="1" applyBorder="1"/>
    <xf numFmtId="179" fontId="7" fillId="0" borderId="0" xfId="0" applyNumberFormat="1" applyFont="1"/>
    <xf numFmtId="176" fontId="7" fillId="0" borderId="0" xfId="0" applyNumberFormat="1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0" fontId="4" fillId="2" borderId="0" xfId="0" applyFont="1" applyFill="1"/>
    <xf numFmtId="0" fontId="10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노즐 유속에 따른 펌프 전력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(4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대 동시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'유속 스윕'!$V$1</c:f>
              <c:strCache>
                <c:ptCount val="1"/>
                <c:pt idx="0">
                  <c:v>P (W)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'유속 스윕'!$A$2:$A$49</c:f>
              <c:numCache>
                <c:formatCode>General</c:formatCode>
                <c:ptCount val="4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</c:numCache>
            </c:numRef>
          </c:xVal>
          <c:yVal>
            <c:numRef>
              <c:f>'유속 스윕'!$V$2:$V$49</c:f>
              <c:numCache>
                <c:formatCode>0.00</c:formatCode>
                <c:ptCount val="48"/>
                <c:pt idx="0">
                  <c:v>9.1427377651745925</c:v>
                </c:pt>
                <c:pt idx="1">
                  <c:v>18.288217625639138</c:v>
                </c:pt>
                <c:pt idx="2">
                  <c:v>27.438174192136657</c:v>
                </c:pt>
                <c:pt idx="3">
                  <c:v>36.595048394699816</c:v>
                </c:pt>
                <c:pt idx="4">
                  <c:v>45.759938782517942</c:v>
                </c:pt>
                <c:pt idx="5">
                  <c:v>54.934734635242791</c:v>
                </c:pt>
                <c:pt idx="6">
                  <c:v>64.121060278429781</c:v>
                </c:pt>
                <c:pt idx="7">
                  <c:v>73.320504771416651</c:v>
                </c:pt>
                <c:pt idx="8">
                  <c:v>82.534628438477142</c:v>
                </c:pt>
                <c:pt idx="9">
                  <c:v>91.764967513280567</c:v>
                </c:pt>
                <c:pt idx="10">
                  <c:v>101.01303759468391</c:v>
                </c:pt>
                <c:pt idx="11">
                  <c:v>110.28033630829044</c:v>
                </c:pt>
                <c:pt idx="12">
                  <c:v>119.56834541279976</c:v>
                </c:pt>
                <c:pt idx="13">
                  <c:v>128.87853250405445</c:v>
                </c:pt>
                <c:pt idx="14">
                  <c:v>138.212352418927</c:v>
                </c:pt>
                <c:pt idx="15">
                  <c:v>147.5712484097435</c:v>
                </c:pt>
                <c:pt idx="16">
                  <c:v>156.95665313964929</c:v>
                </c:pt>
                <c:pt idx="17">
                  <c:v>166.36998953576656</c:v>
                </c:pt>
                <c:pt idx="18">
                  <c:v>175.81267152767657</c:v>
                </c:pt>
                <c:pt idx="19">
                  <c:v>185.28610469218509</c:v>
                </c:pt>
                <c:pt idx="20">
                  <c:v>194.79168682059267</c:v>
                </c:pt>
                <c:pt idx="21">
                  <c:v>204.33080842120791</c:v>
                </c:pt>
                <c:pt idx="22">
                  <c:v>213.90485316723996</c:v>
                </c:pt>
                <c:pt idx="23">
                  <c:v>223.51519829822854</c:v>
                </c:pt>
                <c:pt idx="24">
                  <c:v>233.16321498164717</c:v>
                </c:pt>
                <c:pt idx="25">
                  <c:v>242.85026864013193</c:v>
                </c:pt>
                <c:pt idx="26">
                  <c:v>252.57771924885077</c:v>
                </c:pt>
                <c:pt idx="27">
                  <c:v>262.34692160678418</c:v>
                </c:pt>
                <c:pt idx="28">
                  <c:v>272.15922558509055</c:v>
                </c:pt>
                <c:pt idx="29">
                  <c:v>282.01597635524178</c:v>
                </c:pt>
                <c:pt idx="30">
                  <c:v>291.9185145992202</c:v>
                </c:pt>
                <c:pt idx="31">
                  <c:v>301.86817670373836</c:v>
                </c:pt>
                <c:pt idx="32">
                  <c:v>311.8662949401737</c:v>
                </c:pt>
                <c:pt idx="33">
                  <c:v>321.9141976316821</c:v>
                </c:pt>
                <c:pt idx="34">
                  <c:v>332.01320930876733</c:v>
                </c:pt>
                <c:pt idx="35">
                  <c:v>342.16465085441672</c:v>
                </c:pt>
                <c:pt idx="36">
                  <c:v>352.36983963978599</c:v>
                </c:pt>
                <c:pt idx="37">
                  <c:v>362.63008965128864</c:v>
                </c:pt>
                <c:pt idx="38">
                  <c:v>372.94671160985763</c:v>
                </c:pt>
                <c:pt idx="39">
                  <c:v>383.32101308305062</c:v>
                </c:pt>
                <c:pt idx="40">
                  <c:v>393.75429859060387</c:v>
                </c:pt>
                <c:pt idx="41">
                  <c:v>404.24786970396923</c:v>
                </c:pt>
                <c:pt idx="42">
                  <c:v>414.80302514031695</c:v>
                </c:pt>
                <c:pt idx="43">
                  <c:v>425.4210608514382</c:v>
                </c:pt>
                <c:pt idx="44">
                  <c:v>436.10327010793071</c:v>
                </c:pt>
                <c:pt idx="45">
                  <c:v>446.85094357902659</c:v>
                </c:pt>
                <c:pt idx="46">
                  <c:v>457.66536940837329</c:v>
                </c:pt>
                <c:pt idx="47">
                  <c:v>468.54783328605936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3-4674-A969-C1C9F1DE6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9608"/>
        <c:axId val="19236597"/>
      </c:scatterChart>
      <c:valAx>
        <c:axId val="50896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노즐 유속 </a:t>
                </a:r>
                <a:r>
                  <a:rPr lang="en" sz="1000" b="1" strike="noStrike" spc="-1">
                    <a:solidFill>
                      <a:srgbClr val="000000"/>
                    </a:solidFill>
                    <a:latin typeface="Calibri"/>
                  </a:rPr>
                  <a:t>u_n (m/s)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9236597"/>
        <c:crosses val="autoZero"/>
        <c:crossBetween val="midCat"/>
      </c:valAx>
      <c:valAx>
        <c:axId val="19236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펌프 전력 </a:t>
                </a:r>
                <a:r>
                  <a:rPr lang="en" sz="1000" b="1" strike="noStrike" spc="-1">
                    <a:solidFill>
                      <a:srgbClr val="000000"/>
                    </a:solidFill>
                    <a:latin typeface="Calibri"/>
                  </a:rPr>
                  <a:t>P (W)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089608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</xdr:row>
      <xdr:rowOff>0</xdr:rowOff>
    </xdr:from>
    <xdr:to>
      <xdr:col>33</xdr:col>
      <xdr:colOff>4680</xdr:colOff>
      <xdr:row>18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59" zoomScaleNormal="100" workbookViewId="0">
      <selection activeCell="B6" sqref="B6"/>
    </sheetView>
  </sheetViews>
  <sheetFormatPr defaultColWidth="8.6640625" defaultRowHeight="14.25"/>
  <cols>
    <col min="1" max="1" width="24" customWidth="1"/>
    <col min="2" max="2" width="13" customWidth="1"/>
    <col min="3" max="3" width="12" customWidth="1"/>
    <col min="4" max="4" width="11" customWidth="1"/>
    <col min="5" max="5" width="12" customWidth="1"/>
    <col min="6" max="7" width="11" customWidth="1"/>
    <col min="8" max="8" width="12" customWidth="1"/>
  </cols>
  <sheetData>
    <row r="1" spans="1:8" ht="17.649999999999999" customHeight="1">
      <c r="A1" s="27" t="s">
        <v>0</v>
      </c>
      <c r="B1" s="25"/>
      <c r="C1" s="25"/>
      <c r="D1" s="25"/>
      <c r="E1" s="25"/>
      <c r="F1" s="25"/>
      <c r="G1" s="25"/>
      <c r="H1" s="25"/>
    </row>
    <row r="2" spans="1:8">
      <c r="A2" s="24" t="s">
        <v>1</v>
      </c>
      <c r="B2" s="25"/>
      <c r="C2" s="25"/>
      <c r="D2" s="25"/>
      <c r="E2" s="25"/>
      <c r="F2" s="25"/>
      <c r="G2" s="25"/>
      <c r="H2" s="25"/>
    </row>
    <row r="4" spans="1:8">
      <c r="A4" s="28" t="s">
        <v>2</v>
      </c>
      <c r="B4" s="25"/>
      <c r="C4" s="25"/>
      <c r="D4" s="25"/>
      <c r="E4" s="25"/>
      <c r="F4" s="25"/>
      <c r="G4" s="25"/>
      <c r="H4" s="25"/>
    </row>
    <row r="5" spans="1:8">
      <c r="A5" s="1" t="s">
        <v>3</v>
      </c>
      <c r="B5" s="14">
        <v>1.2410000000000001</v>
      </c>
      <c r="C5" s="2" t="s">
        <v>4</v>
      </c>
      <c r="D5" s="24" t="s">
        <v>5</v>
      </c>
      <c r="E5" s="25"/>
      <c r="F5" s="25"/>
    </row>
    <row r="6" spans="1:8">
      <c r="A6" s="1" t="s">
        <v>6</v>
      </c>
      <c r="B6" s="15">
        <v>702</v>
      </c>
      <c r="C6" s="2" t="s">
        <v>7</v>
      </c>
      <c r="D6" s="24" t="s">
        <v>8</v>
      </c>
      <c r="E6" s="25"/>
      <c r="F6" s="25"/>
    </row>
    <row r="7" spans="1:8">
      <c r="A7" s="1" t="s">
        <v>9</v>
      </c>
      <c r="B7" s="16">
        <v>5.9999999999999995E-4</v>
      </c>
      <c r="C7" s="2" t="s">
        <v>10</v>
      </c>
      <c r="D7" s="26" t="s">
        <v>11</v>
      </c>
      <c r="E7" s="25"/>
      <c r="F7" s="25"/>
    </row>
    <row r="8" spans="1:8">
      <c r="A8" s="1" t="s">
        <v>12</v>
      </c>
      <c r="B8" s="15">
        <v>9.81</v>
      </c>
      <c r="C8" s="2" t="s">
        <v>13</v>
      </c>
      <c r="D8" s="24"/>
      <c r="E8" s="25"/>
      <c r="F8" s="25"/>
    </row>
    <row r="9" spans="1:8">
      <c r="A9" s="1" t="s">
        <v>14</v>
      </c>
      <c r="B9" s="15">
        <v>0.4</v>
      </c>
      <c r="C9" s="2" t="s">
        <v>15</v>
      </c>
      <c r="D9" s="26" t="s">
        <v>16</v>
      </c>
      <c r="E9" s="25"/>
      <c r="F9" s="25"/>
    </row>
    <row r="10" spans="1:8">
      <c r="A10" s="1" t="s">
        <v>17</v>
      </c>
      <c r="B10" s="15">
        <v>5.0799999999999998E-2</v>
      </c>
      <c r="C10" s="2" t="s">
        <v>18</v>
      </c>
      <c r="D10" s="26" t="s">
        <v>19</v>
      </c>
      <c r="E10" s="25"/>
      <c r="F10" s="25"/>
    </row>
    <row r="11" spans="1:8">
      <c r="A11" s="1" t="s">
        <v>20</v>
      </c>
      <c r="B11" s="15">
        <v>1.7000000000000001E-2</v>
      </c>
      <c r="C11" s="2" t="s">
        <v>18</v>
      </c>
      <c r="D11" s="26" t="s">
        <v>21</v>
      </c>
      <c r="E11" s="25"/>
      <c r="F11" s="25"/>
    </row>
    <row r="12" spans="1:8">
      <c r="A12" s="1" t="s">
        <v>22</v>
      </c>
      <c r="B12" s="16">
        <v>1.5E-6</v>
      </c>
      <c r="C12" s="2" t="s">
        <v>18</v>
      </c>
      <c r="D12" s="26" t="s">
        <v>23</v>
      </c>
      <c r="E12" s="25"/>
      <c r="F12" s="25"/>
    </row>
    <row r="13" spans="1:8">
      <c r="A13" s="1" t="s">
        <v>24</v>
      </c>
      <c r="B13" s="15">
        <v>0.5</v>
      </c>
      <c r="C13" s="2" t="s">
        <v>15</v>
      </c>
      <c r="D13" s="26" t="s">
        <v>25</v>
      </c>
      <c r="E13" s="25"/>
      <c r="F13" s="25"/>
    </row>
    <row r="14" spans="1:8">
      <c r="A14" s="1" t="s">
        <v>26</v>
      </c>
      <c r="B14" s="15">
        <v>1.1000000000000001</v>
      </c>
      <c r="C14" s="2" t="s">
        <v>18</v>
      </c>
      <c r="D14" s="24" t="s">
        <v>27</v>
      </c>
      <c r="E14" s="25"/>
      <c r="F14" s="25"/>
    </row>
    <row r="15" spans="1:8" ht="16.899999999999999" customHeight="1">
      <c r="A15" s="12" t="s">
        <v>28</v>
      </c>
      <c r="B15" s="15">
        <f>B6*B11*B5/B7</f>
        <v>24683.490000000009</v>
      </c>
      <c r="C15" s="13" t="s">
        <v>29</v>
      </c>
    </row>
    <row r="16" spans="1:8">
      <c r="A16" s="28" t="s">
        <v>30</v>
      </c>
      <c r="B16" s="25"/>
      <c r="C16" s="25"/>
      <c r="D16" s="25"/>
      <c r="E16" s="25"/>
      <c r="F16" s="25"/>
      <c r="G16" s="25"/>
      <c r="H16" s="25"/>
    </row>
    <row r="17" spans="1:8">
      <c r="A17" s="1" t="s">
        <v>31</v>
      </c>
      <c r="B17" s="17">
        <f>PI()*B11^2/4</f>
        <v>2.2698006922186259E-4</v>
      </c>
      <c r="C17" s="2" t="s">
        <v>32</v>
      </c>
      <c r="D17" s="24"/>
      <c r="E17" s="25"/>
      <c r="F17" s="25"/>
    </row>
    <row r="18" spans="1:8">
      <c r="A18" s="1" t="s">
        <v>33</v>
      </c>
      <c r="B18" s="17">
        <f>PI()*B10^2/4</f>
        <v>2.0268299163899908E-3</v>
      </c>
      <c r="C18" s="2" t="s">
        <v>32</v>
      </c>
      <c r="D18" s="24"/>
      <c r="E18" s="25"/>
      <c r="F18" s="25"/>
    </row>
    <row r="19" spans="1:8">
      <c r="A19" s="1" t="s">
        <v>34</v>
      </c>
      <c r="B19" s="17">
        <f>B5*B17</f>
        <v>2.8168226590433149E-4</v>
      </c>
      <c r="C19" s="2" t="s">
        <v>35</v>
      </c>
      <c r="D19" s="24"/>
      <c r="E19" s="25"/>
      <c r="F19" s="25"/>
    </row>
    <row r="20" spans="1:8">
      <c r="A20" s="1" t="s">
        <v>36</v>
      </c>
      <c r="B20" s="17">
        <f>D25*B19</f>
        <v>1.126729063617326E-3</v>
      </c>
      <c r="C20" s="2" t="s">
        <v>35</v>
      </c>
      <c r="D20" s="26" t="s">
        <v>37</v>
      </c>
      <c r="E20" s="25"/>
      <c r="F20" s="25"/>
    </row>
    <row r="21" spans="1:8">
      <c r="A21" s="1" t="s">
        <v>36</v>
      </c>
      <c r="B21" s="18">
        <f>B20*1000</f>
        <v>1.1267290636173259</v>
      </c>
      <c r="C21" s="2" t="s">
        <v>38</v>
      </c>
      <c r="D21" s="26" t="s">
        <v>39</v>
      </c>
      <c r="E21" s="25"/>
      <c r="F21" s="25"/>
    </row>
    <row r="23" spans="1:8">
      <c r="A23" s="28" t="s">
        <v>40</v>
      </c>
      <c r="B23" s="25"/>
      <c r="C23" s="25"/>
      <c r="D23" s="25"/>
      <c r="E23" s="25"/>
      <c r="F23" s="25"/>
      <c r="G23" s="25"/>
      <c r="H23" s="25"/>
    </row>
    <row r="24" spans="1:8">
      <c r="A24" s="3" t="s">
        <v>41</v>
      </c>
      <c r="B24" s="3" t="s">
        <v>42</v>
      </c>
      <c r="C24" s="3" t="s">
        <v>43</v>
      </c>
      <c r="D24" s="3" t="s">
        <v>44</v>
      </c>
      <c r="E24" s="3" t="s">
        <v>45</v>
      </c>
      <c r="F24" s="4" t="s">
        <v>46</v>
      </c>
      <c r="G24" s="4" t="s">
        <v>47</v>
      </c>
      <c r="H24" s="4" t="s">
        <v>48</v>
      </c>
    </row>
    <row r="25" spans="1:8">
      <c r="A25" s="2" t="s">
        <v>49</v>
      </c>
      <c r="B25" s="19">
        <v>20</v>
      </c>
      <c r="C25" s="20">
        <f>B10</f>
        <v>5.0799999999999998E-2</v>
      </c>
      <c r="D25" s="5">
        <v>4</v>
      </c>
      <c r="E25" s="18">
        <f>D25*$B$19/(PI()*C25^2/4)</f>
        <v>0.55590706181412375</v>
      </c>
      <c r="F25" s="6">
        <f>$B$6*E25*C25/$B$7</f>
        <v>33040.892125984261</v>
      </c>
      <c r="G25" s="20">
        <f>IF(F25&lt;2100,16/F25,(-1.737*LN(0.269*($B$12/C25)-(2.185/F25)*LN(0.269*($B$12/C25)+14.5/F25)))^(-2))</f>
        <v>5.7906620457963236E-3</v>
      </c>
      <c r="H25" s="18">
        <f>2*G25*E25^2*B25/C25</f>
        <v>1.4090580339642138</v>
      </c>
    </row>
    <row r="26" spans="1:8">
      <c r="A26" s="2" t="s">
        <v>50</v>
      </c>
      <c r="B26" s="19">
        <v>5</v>
      </c>
      <c r="C26" s="20">
        <f>B10</f>
        <v>5.0799999999999998E-2</v>
      </c>
      <c r="D26" s="5">
        <v>2</v>
      </c>
      <c r="E26" s="18">
        <f>D26*$B$19/(PI()*C26^2/4)</f>
        <v>0.27795353090706187</v>
      </c>
      <c r="F26" s="6">
        <f>$B$6*E26*C26/$B$7</f>
        <v>16520.44606299213</v>
      </c>
      <c r="G26" s="20">
        <f>IF(F26&lt;2100,16/F26,(-1.737*LN(0.269*($B$12/C26)-(2.185/F26)*LN(0.269*($B$12/C26)+14.5/F26)))^(-2))</f>
        <v>6.8181392458703692E-3</v>
      </c>
      <c r="H26" s="18">
        <f>2*G26*E26^2*B26/C26</f>
        <v>0.10369230889642589</v>
      </c>
    </row>
    <row r="27" spans="1:8" ht="16.899999999999999" customHeight="1">
      <c r="A27" s="2" t="s">
        <v>51</v>
      </c>
      <c r="B27" s="19">
        <v>2.1</v>
      </c>
      <c r="C27" s="20">
        <f>B10</f>
        <v>5.0799999999999998E-2</v>
      </c>
      <c r="D27" s="5">
        <v>1</v>
      </c>
      <c r="E27" s="18">
        <f>D27*$B$19/(PI()*C27^2/4)</f>
        <v>0.13897676545353094</v>
      </c>
      <c r="F27" s="6">
        <f>$B$6*E27*C27/$B$7</f>
        <v>8260.2230314960652</v>
      </c>
      <c r="G27" s="20">
        <f>IF(F27&lt;2100,16/F27,(-1.737*LN(0.269*($B$12/C27)-(2.185/F27)*LN(0.269*($B$12/C27)+14.5/F27)))^(-2))</f>
        <v>8.127479379563169E-3</v>
      </c>
      <c r="H27" s="18">
        <v>0.16</v>
      </c>
    </row>
    <row r="28" spans="1:8">
      <c r="A28" s="1" t="s">
        <v>52</v>
      </c>
      <c r="B28" s="19">
        <v>6.8</v>
      </c>
      <c r="C28" s="20">
        <f>B11</f>
        <v>1.7000000000000001E-2</v>
      </c>
      <c r="D28" s="5">
        <v>1</v>
      </c>
      <c r="E28" s="18">
        <f>D28*$B$19/(PI()*C28^2/4)</f>
        <v>1.2410000000000001</v>
      </c>
      <c r="F28" s="6">
        <f>$B$6*E28*C28/$B$7</f>
        <v>24683.490000000005</v>
      </c>
      <c r="G28" s="20">
        <f>IF(F28&lt;2100,16/F28,(-1.737*LN(0.269*($B$12/C28)-(2.185/F28)*LN(0.269*($B$12/C28)+14.5/F28)))^(-2))</f>
        <v>6.2277029198306274E-3</v>
      </c>
      <c r="H28" s="18">
        <v>98.12</v>
      </c>
    </row>
    <row r="30" spans="1:8">
      <c r="A30" s="28" t="s">
        <v>53</v>
      </c>
      <c r="B30" s="25"/>
      <c r="C30" s="25"/>
      <c r="D30" s="25"/>
      <c r="E30" s="25"/>
      <c r="F30" s="25"/>
      <c r="G30" s="25"/>
      <c r="H30" s="25"/>
    </row>
    <row r="31" spans="1:8">
      <c r="A31" s="1" t="s">
        <v>54</v>
      </c>
      <c r="B31" s="18">
        <f>SUM(H25:H28)</f>
        <v>99.792750342860643</v>
      </c>
      <c r="C31" s="2" t="s">
        <v>55</v>
      </c>
      <c r="D31" s="24"/>
      <c r="E31" s="25"/>
      <c r="F31" s="25"/>
    </row>
    <row r="32" spans="1:8">
      <c r="A32" s="1" t="s">
        <v>56</v>
      </c>
      <c r="B32" s="18">
        <v>5.68</v>
      </c>
      <c r="C32" s="2" t="s">
        <v>55</v>
      </c>
      <c r="D32" s="24"/>
      <c r="E32" s="25"/>
      <c r="F32" s="25"/>
    </row>
    <row r="33" spans="1:8">
      <c r="A33" s="1" t="s">
        <v>57</v>
      </c>
      <c r="B33" s="18">
        <f>B5^2/2</f>
        <v>0.77004050000000013</v>
      </c>
      <c r="C33" s="2" t="s">
        <v>55</v>
      </c>
      <c r="D33" s="24"/>
      <c r="E33" s="25"/>
      <c r="F33" s="25"/>
    </row>
    <row r="34" spans="1:8">
      <c r="A34" s="1" t="s">
        <v>58</v>
      </c>
      <c r="B34" s="18">
        <f>B8*B14</f>
        <v>10.791000000000002</v>
      </c>
      <c r="C34" s="2" t="s">
        <v>55</v>
      </c>
      <c r="D34" s="24"/>
      <c r="E34" s="25"/>
      <c r="F34" s="25"/>
    </row>
    <row r="35" spans="1:8">
      <c r="A35" s="1" t="s">
        <v>59</v>
      </c>
      <c r="B35" s="21">
        <f>B31+B32+B33+B34</f>
        <v>117.03379084286064</v>
      </c>
      <c r="C35" s="2" t="s">
        <v>55</v>
      </c>
      <c r="D35" s="24"/>
      <c r="E35" s="25"/>
      <c r="F35" s="25"/>
    </row>
    <row r="37" spans="1:8">
      <c r="A37" s="28" t="s">
        <v>60</v>
      </c>
      <c r="B37" s="25"/>
      <c r="C37" s="25"/>
      <c r="D37" s="25"/>
      <c r="E37" s="25"/>
      <c r="F37" s="25"/>
      <c r="G37" s="25"/>
      <c r="H37" s="25"/>
    </row>
    <row r="38" spans="1:8">
      <c r="A38" s="1" t="s">
        <v>61</v>
      </c>
      <c r="B38" s="18">
        <f>B35/B8</f>
        <v>11.930050034950115</v>
      </c>
      <c r="C38" s="2" t="s">
        <v>18</v>
      </c>
      <c r="D38" s="24"/>
      <c r="E38" s="25"/>
      <c r="F38" s="25"/>
    </row>
    <row r="39" spans="1:8">
      <c r="A39" s="1" t="s">
        <v>62</v>
      </c>
      <c r="B39" s="18">
        <f>B6*B20</f>
        <v>0.79096380265936284</v>
      </c>
      <c r="C39" s="2" t="s">
        <v>63</v>
      </c>
      <c r="D39" s="24"/>
      <c r="E39" s="25"/>
      <c r="F39" s="25"/>
    </row>
    <row r="40" spans="1:8">
      <c r="A40" s="1" t="s">
        <v>64</v>
      </c>
      <c r="B40" s="7">
        <f>B39*B35</f>
        <v>92.569492244709565</v>
      </c>
      <c r="C40" s="2" t="s">
        <v>65</v>
      </c>
      <c r="D40" s="24"/>
      <c r="E40" s="25"/>
      <c r="F40" s="25"/>
    </row>
    <row r="41" spans="1:8">
      <c r="A41" s="1" t="s">
        <v>66</v>
      </c>
      <c r="B41" s="8">
        <f>B40/B9</f>
        <v>231.42373061177389</v>
      </c>
      <c r="C41" s="2" t="s">
        <v>65</v>
      </c>
      <c r="D41" s="29" t="s">
        <v>67</v>
      </c>
      <c r="E41" s="25"/>
      <c r="F41" s="25"/>
    </row>
  </sheetData>
  <mergeCells count="31">
    <mergeCell ref="D11:F11"/>
    <mergeCell ref="A30:H30"/>
    <mergeCell ref="D41:F41"/>
    <mergeCell ref="D32:F32"/>
    <mergeCell ref="D17:F17"/>
    <mergeCell ref="A37:H37"/>
    <mergeCell ref="D39:F39"/>
    <mergeCell ref="D33:F33"/>
    <mergeCell ref="D38:F38"/>
    <mergeCell ref="D35:F35"/>
    <mergeCell ref="A23:H23"/>
    <mergeCell ref="D20:F20"/>
    <mergeCell ref="D34:F34"/>
    <mergeCell ref="D19:F19"/>
    <mergeCell ref="D31:F31"/>
    <mergeCell ref="D40:F40"/>
    <mergeCell ref="D21:F21"/>
    <mergeCell ref="D6:F6"/>
    <mergeCell ref="A1:H1"/>
    <mergeCell ref="D7:F7"/>
    <mergeCell ref="A16:H16"/>
    <mergeCell ref="D12:F12"/>
    <mergeCell ref="D18:F18"/>
    <mergeCell ref="D9:F9"/>
    <mergeCell ref="D8:F8"/>
    <mergeCell ref="D14:F14"/>
    <mergeCell ref="D5:F5"/>
    <mergeCell ref="A2:H2"/>
    <mergeCell ref="D10:F10"/>
    <mergeCell ref="A4:H4"/>
    <mergeCell ref="D13:F13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9"/>
  <sheetViews>
    <sheetView topLeftCell="G1" zoomScaleNormal="100" workbookViewId="0">
      <selection activeCell="A21" sqref="A21"/>
    </sheetView>
  </sheetViews>
  <sheetFormatPr defaultColWidth="8.6640625" defaultRowHeight="14.25"/>
  <cols>
    <col min="1" max="1" width="11" customWidth="1"/>
    <col min="2" max="2" width="12" customWidth="1"/>
    <col min="3" max="22" width="9.46484375" customWidth="1"/>
  </cols>
  <sheetData>
    <row r="1" spans="1:22" ht="39.75" customHeight="1">
      <c r="A1" s="3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77</v>
      </c>
      <c r="K1" s="4" t="s">
        <v>78</v>
      </c>
      <c r="L1" s="4" t="s">
        <v>79</v>
      </c>
      <c r="M1" s="4" t="s">
        <v>80</v>
      </c>
      <c r="N1" s="4" t="s">
        <v>81</v>
      </c>
      <c r="O1" s="4" t="s">
        <v>82</v>
      </c>
      <c r="P1" s="4" t="s">
        <v>83</v>
      </c>
      <c r="Q1" s="4" t="s">
        <v>84</v>
      </c>
      <c r="R1" s="3" t="s">
        <v>85</v>
      </c>
      <c r="S1" s="3" t="s">
        <v>86</v>
      </c>
      <c r="T1" s="3" t="s">
        <v>87</v>
      </c>
      <c r="U1" s="4" t="s">
        <v>88</v>
      </c>
      <c r="V1" s="4" t="s">
        <v>89</v>
      </c>
    </row>
    <row r="2" spans="1:22">
      <c r="A2" s="9">
        <v>0.05</v>
      </c>
      <c r="B2" s="22">
        <f>'펌프동력 계산기'!$D$25*(A2*'펌프동력 계산기'!$B$17)*1000</f>
        <v>4.5396013844372515E-2</v>
      </c>
      <c r="C2" s="22">
        <f>'펌프동력 계산기'!$D$25*(A2*'펌프동력 계산기'!$B$17)/'펌프동력 계산기'!$B$18</f>
        <v>2.2397544795089597E-2</v>
      </c>
      <c r="D2" s="10">
        <f>'펌프동력 계산기'!$B$6*C2*'펌프동력 계산기'!$B$10/'펌프동력 계산기'!$B$7</f>
        <v>1331.2204724409453</v>
      </c>
      <c r="E2" s="23">
        <f>IF(D2&lt;2100,16/D2,(-1.737*LN(0.269*'펌프동력 계산기'!$B$12/'펌프동력 계산기'!$B$10-(2.185/D2)*LN(0.269*'펌프동력 계산기'!$B$12/'펌프동력 계산기'!$B$10+14.5/D2)))^(-2))</f>
        <v>1.2019045929080527E-2</v>
      </c>
      <c r="F2" s="22">
        <f>2*E2*C2^2*'펌프동력 계산기'!$B$25/'펌프동력 계산기'!$B$10</f>
        <v>4.7475232635783389E-3</v>
      </c>
      <c r="G2" s="22">
        <f>'펌프동력 계산기'!$D$26*(A2*'펌프동력 계산기'!$B$17)/'펌프동력 계산기'!$B$18</f>
        <v>1.1198772397544798E-2</v>
      </c>
      <c r="H2" s="10">
        <f>'펌프동력 계산기'!$B$6*G2*'펌프동력 계산기'!$B$10/'펌프동력 계산기'!$B$7</f>
        <v>665.61023622047264</v>
      </c>
      <c r="I2" s="23">
        <f>IF(H2&lt;2100,16/H2,(-1.737*LN(0.269*'펌프동력 계산기'!$B$12/'펌프동력 계산기'!$B$10-(2.185/H2)*LN(0.269*'펌프동력 계산기'!$B$12/'펌프동력 계산기'!$B$10+14.5/H2)))^(-2))</f>
        <v>2.4038091858161054E-2</v>
      </c>
      <c r="J2" s="22">
        <f>2*I2*G2^2*'펌프동력 계산기'!$B$26/'펌프동력 계산기'!$B$10</f>
        <v>5.9344040794729236E-4</v>
      </c>
      <c r="K2" s="22">
        <f>'펌프동력 계산기'!$D$27*(A2*'펌프동력 계산기'!$B$17)/'펌프동력 계산기'!$B$18</f>
        <v>5.5993861987723992E-3</v>
      </c>
      <c r="L2" s="10">
        <f>'펌프동력 계산기'!$B$6*K2*'펌프동력 계산기'!$B$10/'펌프동력 계산기'!$B$7</f>
        <v>332.80511811023632</v>
      </c>
      <c r="M2" s="23">
        <f>IF(L2&lt;2100,16/L2,(-1.737*LN(0.269*'펌프동력 계산기'!$B$12/'펌프동력 계산기'!$B$10-(2.185/L2)*LN(0.269*'펌프동력 계산기'!$B$12/'펌프동력 계산기'!$B$10+14.5/L2)))^(-2))</f>
        <v>4.8076183716322107E-2</v>
      </c>
      <c r="N2" s="22">
        <f>2*M2*K2^2*'펌프동력 계산기'!$B$27/'펌프동력 계산기'!$B$10</f>
        <v>1.2462248566893141E-4</v>
      </c>
      <c r="O2" s="10">
        <f>'펌프동력 계산기'!$B$6*A2*'펌프동력 계산기'!$B$11/'펌프동력 계산기'!$B$7</f>
        <v>994.50000000000034</v>
      </c>
      <c r="P2" s="23">
        <f>IF(O2&lt;2100,16/O2,(-1.737*LN(0.269*'펌프동력 계산기'!$B$12/'펌프동력 계산기'!$B$11-(2.185/O2)*LN(0.269*'펌프동력 계산기'!$B$12/'펌프동력 계산기'!$B$11+14.5/O2)))^(-2))</f>
        <v>1.6088486676721966E-2</v>
      </c>
      <c r="Q2" s="22">
        <f>2*P2*A2^2*'펌프동력 계산기'!$B$28/'펌프동력 계산기'!$B$11</f>
        <v>3.2176973353443938E-2</v>
      </c>
      <c r="R2" s="22">
        <f>'펌프동력 계산기'!$B$13*A2^2/2</f>
        <v>6.2500000000000012E-4</v>
      </c>
      <c r="S2" s="22">
        <f t="shared" ref="S2:S49" si="0">A2^2/2</f>
        <v>1.2500000000000002E-3</v>
      </c>
      <c r="T2" s="22">
        <f>'펌프동력 계산기'!$B$8*'펌프동력 계산기'!$B$14</f>
        <v>10.791000000000002</v>
      </c>
      <c r="U2" s="22">
        <f>F2+J2+'펌프동력 계산기'!$H$27+'펌프동력 계산기'!$H$28+'펌프동력 계산기'!$B$32+S2+T2</f>
        <v>114.75759096367153</v>
      </c>
      <c r="V2" s="11">
        <f>'펌프동력 계산기'!$B$6*('펌프동력 계산기'!$D$25*(A2*'펌프동력 계산기'!$B$17))*U2/'펌프동력 계산기'!$B$9</f>
        <v>9.1427377651745925</v>
      </c>
    </row>
    <row r="3" spans="1:22">
      <c r="A3" s="9">
        <v>0.1</v>
      </c>
      <c r="B3" s="22">
        <f>'펌프동력 계산기'!$D$25*(A3*'펌프동력 계산기'!$B$17)*1000</f>
        <v>9.0792027688745031E-2</v>
      </c>
      <c r="C3" s="22">
        <f>'펌프동력 계산기'!$D$25*(A3*'펌프동력 계산기'!$B$17)/'펌프동력 계산기'!$B$18</f>
        <v>4.4795089590179193E-2</v>
      </c>
      <c r="D3" s="10">
        <f>'펌프동력 계산기'!$B$6*C3*'펌프동력 계산기'!$B$10/'펌프동력 계산기'!$B$7</f>
        <v>2662.4409448818906</v>
      </c>
      <c r="E3" s="23">
        <f>IF(D3&lt;2100,16/D3,(-1.737*LN(0.269*'펌프동력 계산기'!$B$12/'펌프동력 계산기'!$B$10-(2.185/D3)*LN(0.269*'펌프동력 계산기'!$B$12/'펌프동력 계산기'!$B$10+14.5/D3)))^(-2))</f>
        <v>1.114757247222941E-2</v>
      </c>
      <c r="F3" s="22">
        <f>2*E3*C3^2*'펌프동력 계산기'!$B$25/'펌프동력 계산기'!$B$10</f>
        <v>1.7613164957223298E-2</v>
      </c>
      <c r="G3" s="22">
        <f>'펌프동력 계산기'!$D$26*(A3*'펌프동력 계산기'!$B$17)/'펌프동력 계산기'!$B$18</f>
        <v>2.2397544795089597E-2</v>
      </c>
      <c r="H3" s="10">
        <f>'펌프동력 계산기'!$B$6*G3*'펌프동력 계산기'!$B$10/'펌프동력 계산기'!$B$7</f>
        <v>1331.2204724409453</v>
      </c>
      <c r="I3" s="23">
        <f>IF(H3&lt;2100,16/H3,(-1.737*LN(0.269*'펌프동력 계산기'!$B$12/'펌프동력 계산기'!$B$10-(2.185/H3)*LN(0.269*'펌프동력 계산기'!$B$12/'펌프동력 계산기'!$B$10+14.5/H3)))^(-2))</f>
        <v>1.2019045929080527E-2</v>
      </c>
      <c r="J3" s="22">
        <f>2*I3*G3^2*'펌프동력 계산기'!$B$26/'펌프동력 계산기'!$B$10</f>
        <v>1.1868808158945847E-3</v>
      </c>
      <c r="K3" s="22">
        <f>'펌프동력 계산기'!$D$27*(A3*'펌프동력 계산기'!$B$17)/'펌프동력 계산기'!$B$18</f>
        <v>1.1198772397544798E-2</v>
      </c>
      <c r="L3" s="10">
        <f>'펌프동력 계산기'!$B$6*K3*'펌프동력 계산기'!$B$10/'펌프동력 계산기'!$B$7</f>
        <v>665.61023622047264</v>
      </c>
      <c r="M3" s="23">
        <f>IF(L3&lt;2100,16/L3,(-1.737*LN(0.269*'펌프동력 계산기'!$B$12/'펌프동력 계산기'!$B$10-(2.185/L3)*LN(0.269*'펌프동력 계산기'!$B$12/'펌프동력 계산기'!$B$10+14.5/L3)))^(-2))</f>
        <v>2.4038091858161054E-2</v>
      </c>
      <c r="N3" s="22">
        <f>2*M3*K3^2*'펌프동력 계산기'!$B$27/'펌프동력 계산기'!$B$10</f>
        <v>2.4924497133786282E-4</v>
      </c>
      <c r="O3" s="10">
        <f>'펌프동력 계산기'!$B$6*A3*'펌프동력 계산기'!$B$11/'펌프동력 계산기'!$B$7</f>
        <v>1989.0000000000007</v>
      </c>
      <c r="P3" s="23">
        <f>IF(O3&lt;2100,16/O3,(-1.737*LN(0.269*'펌프동력 계산기'!$B$12/'펌프동력 계산기'!$B$11-(2.185/O3)*LN(0.269*'펌프동력 계산기'!$B$12/'펌프동력 계산기'!$B$11+14.5/O3)))^(-2))</f>
        <v>8.0442433383609829E-3</v>
      </c>
      <c r="Q3" s="22">
        <f>2*P3*A3^2*'펌프동력 계산기'!$B$28/'펌프동력 계산기'!$B$11</f>
        <v>6.4353946706887877E-2</v>
      </c>
      <c r="R3" s="22">
        <f>'펌프동력 계산기'!$B$13*A3^2/2</f>
        <v>2.5000000000000005E-3</v>
      </c>
      <c r="S3" s="22">
        <f t="shared" si="0"/>
        <v>5.000000000000001E-3</v>
      </c>
      <c r="T3" s="22">
        <f>'펌프동력 계산기'!$B$8*'펌프동력 계산기'!$B$14</f>
        <v>10.791000000000002</v>
      </c>
      <c r="U3" s="22">
        <f>F3+J3+'펌프동력 계산기'!$H$27+'펌프동력 계산기'!$H$28+'펌프동력 계산기'!$B$32+S3+T3</f>
        <v>114.77480004577311</v>
      </c>
      <c r="V3" s="11">
        <f>'펌프동력 계산기'!$B$6*('펌프동력 계산기'!$D$25*(A3*'펌프동력 계산기'!$B$17))*U3/'펌프동력 계산기'!$B$9</f>
        <v>18.288217625639138</v>
      </c>
    </row>
    <row r="4" spans="1:22">
      <c r="A4" s="9">
        <v>0.15</v>
      </c>
      <c r="B4" s="22">
        <f>'펌프동력 계산기'!$D$25*(A4*'펌프동력 계산기'!$B$17)*1000</f>
        <v>0.13618804153311756</v>
      </c>
      <c r="C4" s="22">
        <f>'펌프동력 계산기'!$D$25*(A4*'펌프동력 계산기'!$B$17)/'펌프동력 계산기'!$B$18</f>
        <v>6.719263438526879E-2</v>
      </c>
      <c r="D4" s="10">
        <f>'펌프동력 계산기'!$B$6*C4*'펌프동력 계산기'!$B$10/'펌프동력 계산기'!$B$7</f>
        <v>3993.6614173228363</v>
      </c>
      <c r="E4" s="23">
        <f>IF(D4&lt;2100,16/D4,(-1.737*LN(0.269*'펌프동력 계산기'!$B$12/'펌프동력 계산기'!$B$10-(2.185/D4)*LN(0.269*'펌프동력 계산기'!$B$12/'펌프동력 계산기'!$B$10+14.5/D4)))^(-2))</f>
        <v>9.911754495706698E-3</v>
      </c>
      <c r="F4" s="22">
        <f>2*E4*C4^2*'펌프동력 계산기'!$B$25/'펌프동력 계산기'!$B$10</f>
        <v>3.5236288134694017E-2</v>
      </c>
      <c r="G4" s="22">
        <f>'펌프동력 계산기'!$D$26*(A4*'펌프동력 계산기'!$B$17)/'펌프동력 계산기'!$B$18</f>
        <v>3.3596317192634395E-2</v>
      </c>
      <c r="H4" s="10">
        <f>'펌프동력 계산기'!$B$6*G4*'펌프동력 계산기'!$B$10/'펌프동력 계산기'!$B$7</f>
        <v>1996.8307086614182</v>
      </c>
      <c r="I4" s="23">
        <f>IF(H4&lt;2100,16/H4,(-1.737*LN(0.269*'펌프동력 계산기'!$B$12/'펌프동력 계산기'!$B$10-(2.185/H4)*LN(0.269*'펌프동력 계산기'!$B$12/'펌프동력 계산기'!$B$10+14.5/H4)))^(-2))</f>
        <v>8.0126972860536834E-3</v>
      </c>
      <c r="J4" s="22">
        <f>2*I4*G4^2*'펌프동력 계산기'!$B$26/'펌프동력 계산기'!$B$10</f>
        <v>1.7803212238418767E-3</v>
      </c>
      <c r="K4" s="22">
        <f>'펌프동력 계산기'!$D$27*(A4*'펌프동력 계산기'!$B$17)/'펌프동력 계산기'!$B$18</f>
        <v>1.6798158596317198E-2</v>
      </c>
      <c r="L4" s="10">
        <f>'펌프동력 계산기'!$B$6*K4*'펌프동력 계산기'!$B$10/'펌프동력 계산기'!$B$7</f>
        <v>998.41535433070908</v>
      </c>
      <c r="M4" s="23">
        <f>IF(L4&lt;2100,16/L4,(-1.737*LN(0.269*'펌프동력 계산기'!$B$12/'펌프동력 계산기'!$B$10-(2.185/L4)*LN(0.269*'펌프동력 계산기'!$B$12/'펌프동력 계산기'!$B$10+14.5/L4)))^(-2))</f>
        <v>1.6025394572107367E-2</v>
      </c>
      <c r="N4" s="22">
        <f>2*M4*K4^2*'펌프동력 계산기'!$B$27/'펌프동력 계산기'!$B$10</f>
        <v>3.7386745700679412E-4</v>
      </c>
      <c r="O4" s="10">
        <f>'펌프동력 계산기'!$B$6*A4*'펌프동력 계산기'!$B$11/'펌프동력 계산기'!$B$7</f>
        <v>2983.5000000000005</v>
      </c>
      <c r="P4" s="23">
        <f>IF(O4&lt;2100,16/O4,(-1.737*LN(0.269*'펌프동력 계산기'!$B$12/'펌프동력 계산기'!$B$11-(2.185/O4)*LN(0.269*'펌프동력 계산기'!$B$12/'펌프동력 계산기'!$B$11+14.5/O4)))^(-2))</f>
        <v>1.0793681035735424E-2</v>
      </c>
      <c r="Q4" s="22">
        <f>2*P4*A4^2*'펌프동력 계산기'!$B$28/'펌프동력 계산기'!$B$11</f>
        <v>0.19428625864323762</v>
      </c>
      <c r="R4" s="22">
        <f>'펌프동력 계산기'!$B$13*A4^2/2</f>
        <v>5.6249999999999998E-3</v>
      </c>
      <c r="S4" s="22">
        <f t="shared" si="0"/>
        <v>1.125E-2</v>
      </c>
      <c r="T4" s="22">
        <f>'펌프동력 계산기'!$B$8*'펌프동력 계산기'!$B$14</f>
        <v>10.791000000000002</v>
      </c>
      <c r="U4" s="22">
        <f>F4+J4+'펌프동력 계산기'!$H$27+'펌프동력 계산기'!$H$28+'펌프동력 계산기'!$B$32+S4+T4</f>
        <v>114.79926660935855</v>
      </c>
      <c r="V4" s="11">
        <f>'펌프동력 계산기'!$B$6*('펌프동력 계산기'!$D$25*(A4*'펌프동력 계산기'!$B$17))*U4/'펌프동력 계산기'!$B$9</f>
        <v>27.438174192136657</v>
      </c>
    </row>
    <row r="5" spans="1:22">
      <c r="A5" s="9">
        <v>0.2</v>
      </c>
      <c r="B5" s="22">
        <f>'펌프동력 계산기'!$D$25*(A5*'펌프동력 계산기'!$B$17)*1000</f>
        <v>0.18158405537749006</v>
      </c>
      <c r="C5" s="22">
        <f>'펌프동력 계산기'!$D$25*(A5*'펌프동력 계산기'!$B$17)/'펌프동력 계산기'!$B$18</f>
        <v>8.9590179180358387E-2</v>
      </c>
      <c r="D5" s="10">
        <f>'펌프동력 계산기'!$B$6*C5*'펌프동력 계산기'!$B$10/'펌프동력 계산기'!$B$7</f>
        <v>5324.8818897637811</v>
      </c>
      <c r="E5" s="23">
        <f>IF(D5&lt;2100,16/D5,(-1.737*LN(0.269*'펌프동력 계산기'!$B$12/'펌프동력 계산기'!$B$10-(2.185/D5)*LN(0.269*'펌프동력 계산기'!$B$12/'펌프동력 계산기'!$B$10+14.5/D5)))^(-2))</f>
        <v>9.146163287836925E-3</v>
      </c>
      <c r="F5" s="22">
        <f>2*E5*C5^2*'펌프동력 계산기'!$B$25/'펌프동력 계산기'!$B$10</f>
        <v>5.7803753459574329E-2</v>
      </c>
      <c r="G5" s="22">
        <f>'펌프동력 계산기'!$D$26*(A5*'펌프동력 계산기'!$B$17)/'펌프동력 계산기'!$B$18</f>
        <v>4.4795089590179193E-2</v>
      </c>
      <c r="H5" s="10">
        <f>'펌프동력 계산기'!$B$6*G5*'펌프동력 계산기'!$B$10/'펌프동력 계산기'!$B$7</f>
        <v>2662.4409448818906</v>
      </c>
      <c r="I5" s="23">
        <f>IF(H5&lt;2100,16/H5,(-1.737*LN(0.269*'펌프동력 계산기'!$B$12/'펌프동력 계산기'!$B$10-(2.185/H5)*LN(0.269*'펌프동력 계산기'!$B$12/'펌프동력 계산기'!$B$10+14.5/H5)))^(-2))</f>
        <v>1.114757247222941E-2</v>
      </c>
      <c r="J5" s="22">
        <f>2*I5*G5^2*'펌프동력 계산기'!$B$26/'펌프동력 계산기'!$B$10</f>
        <v>4.4032912393058244E-3</v>
      </c>
      <c r="K5" s="22">
        <f>'펌프동력 계산기'!$D$27*(A5*'펌프동력 계산기'!$B$17)/'펌프동력 계산기'!$B$18</f>
        <v>2.2397544795089597E-2</v>
      </c>
      <c r="L5" s="10">
        <f>'펌프동력 계산기'!$B$6*K5*'펌프동력 계산기'!$B$10/'펌프동력 계산기'!$B$7</f>
        <v>1331.2204724409453</v>
      </c>
      <c r="M5" s="23">
        <f>IF(L5&lt;2100,16/L5,(-1.737*LN(0.269*'펌프동력 계산기'!$B$12/'펌프동력 계산기'!$B$10-(2.185/L5)*LN(0.269*'펌프동력 계산기'!$B$12/'펌프동력 계산기'!$B$10+14.5/L5)))^(-2))</f>
        <v>1.2019045929080527E-2</v>
      </c>
      <c r="N5" s="22">
        <f>2*M5*K5^2*'펌프동력 계산기'!$B$27/'펌프동력 계산기'!$B$10</f>
        <v>4.9848994267572564E-4</v>
      </c>
      <c r="O5" s="10">
        <f>'펌프동력 계산기'!$B$6*A5*'펌프동력 계산기'!$B$11/'펌프동력 계산기'!$B$7</f>
        <v>3978.0000000000014</v>
      </c>
      <c r="P5" s="23">
        <f>IF(O5&lt;2100,16/O5,(-1.737*LN(0.269*'펌프동력 계산기'!$B$12/'펌프동력 계산기'!$B$11-(2.185/O5)*LN(0.269*'펌프동력 계산기'!$B$12/'펌프동력 계산기'!$B$11+14.5/O5)))^(-2))</f>
        <v>9.937709539879375E-3</v>
      </c>
      <c r="Q5" s="22">
        <f>2*P5*A5^2*'펌프동력 계산기'!$B$28/'펌프동력 계산기'!$B$11</f>
        <v>0.31800670527614</v>
      </c>
      <c r="R5" s="22">
        <f>'펌프동력 계산기'!$B$13*A5^2/2</f>
        <v>1.0000000000000002E-2</v>
      </c>
      <c r="S5" s="22">
        <f t="shared" si="0"/>
        <v>2.0000000000000004E-2</v>
      </c>
      <c r="T5" s="22">
        <f>'펌프동력 계산기'!$B$8*'펌프동력 계산기'!$B$14</f>
        <v>10.791000000000002</v>
      </c>
      <c r="U5" s="22">
        <f>F5+J5+'펌프동력 계산기'!$H$27+'펌프동력 계산기'!$H$28+'펌프동력 계산기'!$B$32+S5+T5</f>
        <v>114.83320704469888</v>
      </c>
      <c r="V5" s="11">
        <f>'펌프동력 계산기'!$B$6*('펌프동력 계산기'!$D$25*(A5*'펌프동력 계산기'!$B$17))*U5/'펌프동력 계산기'!$B$9</f>
        <v>36.595048394699816</v>
      </c>
    </row>
    <row r="6" spans="1:22">
      <c r="A6" s="9">
        <v>0.25</v>
      </c>
      <c r="B6" s="22">
        <f>'펌프동력 계산기'!$D$25*(A6*'펌프동력 계산기'!$B$17)*1000</f>
        <v>0.22698006922186259</v>
      </c>
      <c r="C6" s="22">
        <f>'펌프동력 계산기'!$D$25*(A6*'펌프동력 계산기'!$B$17)/'펌프동력 계산기'!$B$18</f>
        <v>0.11198772397544798</v>
      </c>
      <c r="D6" s="10">
        <f>'펌프동력 계산기'!$B$6*C6*'펌프동력 계산기'!$B$10/'펌프동력 계산기'!$B$7</f>
        <v>6656.102362204726</v>
      </c>
      <c r="E6" s="23">
        <f>IF(D6&lt;2100,16/D6,(-1.737*LN(0.269*'펌프동력 계산기'!$B$12/'펌프동력 계산기'!$B$10-(2.185/D6)*LN(0.269*'펌프동력 계산기'!$B$12/'펌프동력 계산기'!$B$10+14.5/D6)))^(-2))</f>
        <v>8.6075371787900316E-3</v>
      </c>
      <c r="F6" s="22">
        <f>2*E6*C6^2*'펌프동력 계산기'!$B$25/'펌프동력 계산기'!$B$10</f>
        <v>8.4999431817520565E-2</v>
      </c>
      <c r="G6" s="22">
        <f>'펌프동력 계산기'!$D$26*(A6*'펌프동력 계산기'!$B$17)/'펌프동력 계산기'!$B$18</f>
        <v>5.5993861987723992E-2</v>
      </c>
      <c r="H6" s="10">
        <f>'펌프동력 계산기'!$B$6*G6*'펌프동력 계산기'!$B$10/'펌프동력 계산기'!$B$7</f>
        <v>3328.051181102363</v>
      </c>
      <c r="I6" s="23">
        <f>IF(H6&lt;2100,16/H6,(-1.737*LN(0.269*'펌프동력 계산기'!$B$12/'펌프동력 계산기'!$B$10-(2.185/H6)*LN(0.269*'펌프동력 계산기'!$B$12/'펌프동력 계산기'!$B$10+14.5/H6)))^(-2))</f>
        <v>1.0443091113276882E-2</v>
      </c>
      <c r="J6" s="22">
        <f>2*I6*G6^2*'펌프동력 계산기'!$B$26/'펌프동력 계산기'!$B$10</f>
        <v>6.4453454615510004E-3</v>
      </c>
      <c r="K6" s="22">
        <f>'펌프동력 계산기'!$D$27*(A6*'펌프동력 계산기'!$B$17)/'펌프동력 계산기'!$B$18</f>
        <v>2.7996930993861996E-2</v>
      </c>
      <c r="L6" s="10">
        <f>'펌프동력 계산기'!$B$6*K6*'펌프동력 계산기'!$B$10/'펌프동력 계산기'!$B$7</f>
        <v>1664.0255905511815</v>
      </c>
      <c r="M6" s="23">
        <f>IF(L6&lt;2100,16/L6,(-1.737*LN(0.269*'펌프동력 계산기'!$B$12/'펌프동력 계산기'!$B$10-(2.185/L6)*LN(0.269*'펌프동력 계산기'!$B$12/'펌프동력 계산기'!$B$10+14.5/L6)))^(-2))</f>
        <v>9.6152367432644232E-3</v>
      </c>
      <c r="N6" s="22">
        <f>2*M6*K6^2*'펌프동력 계산기'!$B$27/'펌프동력 계산기'!$B$10</f>
        <v>6.2311242834465715E-4</v>
      </c>
      <c r="O6" s="10">
        <f>'펌프동력 계산기'!$B$6*A6*'펌프동력 계산기'!$B$11/'펌프동력 계산기'!$B$7</f>
        <v>4972.5000000000009</v>
      </c>
      <c r="P6" s="23">
        <f>IF(O6&lt;2100,16/O6,(-1.737*LN(0.269*'펌프동력 계산기'!$B$12/'펌프동력 계산기'!$B$11-(2.185/O6)*LN(0.269*'펌프동력 계산기'!$B$12/'펌프동력 계산기'!$B$11+14.5/O6)))^(-2))</f>
        <v>9.3370761774765072E-3</v>
      </c>
      <c r="Q6" s="22">
        <f>2*P6*A6^2*'펌프동력 계산기'!$B$28/'펌프동력 계산기'!$B$11</f>
        <v>0.46685380887382533</v>
      </c>
      <c r="R6" s="22">
        <f>'펌프동력 계산기'!$B$13*A6^2/2</f>
        <v>1.5625E-2</v>
      </c>
      <c r="S6" s="22">
        <f t="shared" si="0"/>
        <v>3.125E-2</v>
      </c>
      <c r="T6" s="22">
        <f>'펌프동력 계산기'!$B$8*'펌프동력 계산기'!$B$14</f>
        <v>10.791000000000002</v>
      </c>
      <c r="U6" s="22">
        <f>F6+J6+'펌프동력 계산기'!$H$27+'펌프동력 계산기'!$H$28+'펌프동력 계산기'!$B$32+S6+T6</f>
        <v>114.87369477727907</v>
      </c>
      <c r="V6" s="11">
        <f>'펌프동력 계산기'!$B$6*('펌프동력 계산기'!$D$25*(A6*'펌프동력 계산기'!$B$17))*U6/'펌프동력 계산기'!$B$9</f>
        <v>45.759938782517942</v>
      </c>
    </row>
    <row r="7" spans="1:22">
      <c r="A7" s="9">
        <v>0.3</v>
      </c>
      <c r="B7" s="22">
        <f>'펌프동력 계산기'!$D$25*(A7*'펌프동력 계산기'!$B$17)*1000</f>
        <v>0.27237608306623512</v>
      </c>
      <c r="C7" s="22">
        <f>'펌프동력 계산기'!$D$25*(A7*'펌프동력 계산기'!$B$17)/'펌프동력 계산기'!$B$18</f>
        <v>0.13438526877053758</v>
      </c>
      <c r="D7" s="10">
        <f>'펌프동력 계산기'!$B$6*C7*'펌프동력 계산기'!$B$10/'펌프동력 계산기'!$B$7</f>
        <v>7987.3228346456726</v>
      </c>
      <c r="E7" s="23">
        <f>IF(D7&lt;2100,16/D7,(-1.737*LN(0.269*'펌프동력 계산기'!$B$12/'펌프동력 계산기'!$B$10-(2.185/D7)*LN(0.269*'펌프동력 계산기'!$B$12/'펌프동력 계산기'!$B$10+14.5/D7)))^(-2))</f>
        <v>8.1996755111427583E-3</v>
      </c>
      <c r="F7" s="22">
        <f>2*E7*C7^2*'펌프동력 계산기'!$B$25/'펌프동력 계산기'!$B$10</f>
        <v>0.11659938875474359</v>
      </c>
      <c r="G7" s="22">
        <f>'펌프동력 계산기'!$D$26*(A7*'펌프동력 계산기'!$B$17)/'펌프동력 계산기'!$B$18</f>
        <v>6.719263438526879E-2</v>
      </c>
      <c r="H7" s="10">
        <f>'펌프동력 계산기'!$B$6*G7*'펌프동력 계산기'!$B$10/'펌프동력 계산기'!$B$7</f>
        <v>3993.6614173228363</v>
      </c>
      <c r="I7" s="23">
        <f>IF(H7&lt;2100,16/H7,(-1.737*LN(0.269*'펌프동력 계산기'!$B$12/'펌프동력 계산기'!$B$10-(2.185/H7)*LN(0.269*'펌프동력 계산기'!$B$12/'펌프동력 계산기'!$B$10+14.5/H7)))^(-2))</f>
        <v>9.911754495706698E-3</v>
      </c>
      <c r="J7" s="22">
        <f>2*I7*G7^2*'펌프동력 계산기'!$B$26/'펌프동력 계산기'!$B$10</f>
        <v>8.8090720336735043E-3</v>
      </c>
      <c r="K7" s="22">
        <f>'펌프동력 계산기'!$D$27*(A7*'펌프동력 계산기'!$B$17)/'펌프동력 계산기'!$B$18</f>
        <v>3.3596317192634395E-2</v>
      </c>
      <c r="L7" s="10">
        <f>'펌프동력 계산기'!$B$6*K7*'펌프동력 계산기'!$B$10/'펌프동력 계산기'!$B$7</f>
        <v>1996.8307086614182</v>
      </c>
      <c r="M7" s="23">
        <f>IF(L7&lt;2100,16/L7,(-1.737*LN(0.269*'펌프동력 계산기'!$B$12/'펌프동력 계산기'!$B$10-(2.185/L7)*LN(0.269*'펌프동력 계산기'!$B$12/'펌프동력 계산기'!$B$10+14.5/L7)))^(-2))</f>
        <v>8.0126972860536834E-3</v>
      </c>
      <c r="N7" s="22">
        <f>2*M7*K7^2*'펌프동력 계산기'!$B$27/'펌프동력 계산기'!$B$10</f>
        <v>7.4773491401358824E-4</v>
      </c>
      <c r="O7" s="10">
        <f>'펌프동력 계산기'!$B$6*A7*'펌프동력 계산기'!$B$11/'펌프동력 계산기'!$B$7</f>
        <v>5967.0000000000009</v>
      </c>
      <c r="P7" s="23">
        <f>IF(O7&lt;2100,16/O7,(-1.737*LN(0.269*'펌프동력 계산기'!$B$12/'펌프동력 계산기'!$B$11-(2.185/O7)*LN(0.269*'펌프동력 계산기'!$B$12/'펌프동력 계산기'!$B$11+14.5/O7)))^(-2))</f>
        <v>8.8832611913640114E-3</v>
      </c>
      <c r="Q7" s="22">
        <f>2*P7*A7^2*'펌프동력 계산기'!$B$28/'펌프동력 계산기'!$B$11</f>
        <v>0.63959480577820871</v>
      </c>
      <c r="R7" s="22">
        <f>'펌프동력 계산기'!$B$13*A7^2/2</f>
        <v>2.2499999999999999E-2</v>
      </c>
      <c r="S7" s="22">
        <f t="shared" si="0"/>
        <v>4.4999999999999998E-2</v>
      </c>
      <c r="T7" s="22">
        <f>'펌프동력 계산기'!$B$8*'펌프동력 계산기'!$B$14</f>
        <v>10.791000000000002</v>
      </c>
      <c r="U7" s="22">
        <f>F7+J7+'펌프동력 계산기'!$H$27+'펌프동력 계산기'!$H$28+'펌프동력 계산기'!$B$32+S7+T7</f>
        <v>114.92140846078841</v>
      </c>
      <c r="V7" s="11">
        <f>'펌프동력 계산기'!$B$6*('펌프동력 계산기'!$D$25*(A7*'펌프동력 계산기'!$B$17))*U7/'펌프동력 계산기'!$B$9</f>
        <v>54.934734635242791</v>
      </c>
    </row>
    <row r="8" spans="1:22">
      <c r="A8" s="9">
        <v>0.35</v>
      </c>
      <c r="B8" s="22">
        <f>'펌프동력 계산기'!$D$25*(A8*'펌프동력 계산기'!$B$17)*1000</f>
        <v>0.31777209691060759</v>
      </c>
      <c r="C8" s="22">
        <f>'펌프동력 계산기'!$D$25*(A8*'펌프동력 계산기'!$B$17)/'펌프동력 계산기'!$B$18</f>
        <v>0.15678281356562715</v>
      </c>
      <c r="D8" s="10">
        <f>'펌프동력 계산기'!$B$6*C8*'펌프동력 계산기'!$B$10/'펌프동력 계산기'!$B$7</f>
        <v>9318.5433070866147</v>
      </c>
      <c r="E8" s="23">
        <f>IF(D8&lt;2100,16/D8,(-1.737*LN(0.269*'펌프동력 계산기'!$B$12/'펌프동력 계산기'!$B$10-(2.185/D8)*LN(0.269*'펌프동력 계산기'!$B$12/'펌프동력 계산기'!$B$10+14.5/D8)))^(-2))</f>
        <v>7.8756239637127173E-3</v>
      </c>
      <c r="F8" s="22">
        <f>2*E8*C8^2*'펌프동력 계산기'!$B$25/'펌프동력 계산기'!$B$10</f>
        <v>0.1524327057217007</v>
      </c>
      <c r="G8" s="22">
        <f>'펌프동력 계산기'!$D$26*(A8*'펌프동력 계산기'!$B$17)/'펌프동력 계산기'!$B$18</f>
        <v>7.8391406782813575E-2</v>
      </c>
      <c r="H8" s="10">
        <f>'펌프동력 계산기'!$B$6*G8*'펌프동력 계산기'!$B$10/'펌프동력 계산기'!$B$7</f>
        <v>4659.2716535433074</v>
      </c>
      <c r="I8" s="23">
        <f>IF(H8&lt;2100,16/H8,(-1.737*LN(0.269*'펌프동력 계산기'!$B$12/'펌프동력 계산기'!$B$10-(2.185/H8)*LN(0.269*'펌프동력 계산기'!$B$12/'펌프동력 계산기'!$B$10+14.5/H8)))^(-2))</f>
        <v>9.4910038735371762E-3</v>
      </c>
      <c r="J8" s="22">
        <f>2*I8*G8^2*'펌프동력 계산기'!$B$26/'펌프동력 계산기'!$B$10</f>
        <v>1.1481149042319769E-2</v>
      </c>
      <c r="K8" s="22">
        <f>'펌프동력 계산기'!$D$27*(A8*'펌프동력 계산기'!$B$17)/'펌프동력 계산기'!$B$18</f>
        <v>3.9195703391406787E-2</v>
      </c>
      <c r="L8" s="10">
        <f>'펌프동력 계산기'!$B$6*K8*'펌프동력 계산기'!$B$10/'펌프동력 계산기'!$B$7</f>
        <v>2329.6358267716537</v>
      </c>
      <c r="M8" s="23">
        <f>IF(L8&lt;2100,16/L8,(-1.737*LN(0.269*'펌프동력 계산기'!$B$12/'펌프동력 계산기'!$B$10-(2.185/L8)*LN(0.269*'펌프동력 계산기'!$B$12/'펌프동력 계산기'!$B$10+14.5/L8)))^(-2))</f>
        <v>1.1600129618509598E-2</v>
      </c>
      <c r="N8" s="22">
        <f>2*M8*K8^2*'펌프동력 계산기'!$B$27/'펌프동력 계산기'!$B$10</f>
        <v>1.4734158765150327E-3</v>
      </c>
      <c r="O8" s="10">
        <f>'펌프동력 계산기'!$B$6*A8*'펌프동력 계산기'!$B$11/'펌프동력 계산기'!$B$7</f>
        <v>6961.5</v>
      </c>
      <c r="P8" s="23">
        <f>IF(O8&lt;2100,16/O8,(-1.737*LN(0.269*'펌프동력 계산기'!$B$12/'펌프동력 계산기'!$B$11-(2.185/O8)*LN(0.269*'펌프동력 계산기'!$B$12/'펌프동력 계산기'!$B$11+14.5/O8)))^(-2))</f>
        <v>8.5233851722712767E-3</v>
      </c>
      <c r="Q8" s="22">
        <f>2*P8*A8^2*'펌프동력 계산기'!$B$28/'펌프동력 계산기'!$B$11</f>
        <v>0.8352917468825849</v>
      </c>
      <c r="R8" s="22">
        <f>'펌프동력 계산기'!$B$13*A8^2/2</f>
        <v>3.0624999999999996E-2</v>
      </c>
      <c r="S8" s="22">
        <f t="shared" si="0"/>
        <v>6.1249999999999992E-2</v>
      </c>
      <c r="T8" s="22">
        <f>'펌프동력 계산기'!$B$8*'펌프동력 계산기'!$B$14</f>
        <v>10.791000000000002</v>
      </c>
      <c r="U8" s="22">
        <f>F8+J8+'펌프동력 계산기'!$H$27+'펌프동력 계산기'!$H$28+'펌프동력 계산기'!$B$32+S8+T8</f>
        <v>114.97616385476402</v>
      </c>
      <c r="V8" s="11">
        <f>'펌프동력 계산기'!$B$6*('펌프동력 계산기'!$D$25*(A8*'펌프동력 계산기'!$B$17))*U8/'펌프동력 계산기'!$B$9</f>
        <v>64.121060278429781</v>
      </c>
    </row>
    <row r="9" spans="1:22">
      <c r="A9" s="9">
        <v>0.4</v>
      </c>
      <c r="B9" s="22">
        <f>'펌프동력 계산기'!$D$25*(A9*'펌프동력 계산기'!$B$17)*1000</f>
        <v>0.36316811075498012</v>
      </c>
      <c r="C9" s="22">
        <f>'펌프동력 계산기'!$D$25*(A9*'펌프동력 계산기'!$B$17)/'펌프동력 계산기'!$B$18</f>
        <v>0.17918035836071677</v>
      </c>
      <c r="D9" s="10">
        <f>'펌프동력 계산기'!$B$6*C9*'펌프동력 계산기'!$B$10/'펌프동력 계산기'!$B$7</f>
        <v>10649.763779527562</v>
      </c>
      <c r="E9" s="23">
        <f>IF(D9&lt;2100,16/D9,(-1.737*LN(0.269*'펌프동력 계산기'!$B$12/'펌프동력 계산기'!$B$10-(2.185/D9)*LN(0.269*'펌프동력 계산기'!$B$12/'펌프동력 계산기'!$B$10+14.5/D9)))^(-2))</f>
        <v>7.6092786383450978E-3</v>
      </c>
      <c r="F9" s="22">
        <f>2*E9*C9^2*'펌프동력 계산기'!$B$25/'펌프동력 계산기'!$B$10</f>
        <v>0.19236256890407175</v>
      </c>
      <c r="G9" s="22">
        <f>'펌프동력 계산기'!$D$26*(A9*'펌프동력 계산기'!$B$17)/'펌프동력 계산기'!$B$18</f>
        <v>8.9590179180358387E-2</v>
      </c>
      <c r="H9" s="10">
        <f>'펌프동력 계산기'!$B$6*G9*'펌프동력 계산기'!$B$10/'펌프동력 계산기'!$B$7</f>
        <v>5324.8818897637811</v>
      </c>
      <c r="I9" s="23">
        <f>IF(H9&lt;2100,16/H9,(-1.737*LN(0.269*'펌프동력 계산기'!$B$12/'펌프동력 계산기'!$B$10-(2.185/H9)*LN(0.269*'펌프동력 계산기'!$B$12/'펌프동력 계산기'!$B$10+14.5/H9)))^(-2))</f>
        <v>9.146163287836925E-3</v>
      </c>
      <c r="J9" s="22">
        <f>2*I9*G9^2*'펌프동력 계산기'!$B$26/'펌프동력 계산기'!$B$10</f>
        <v>1.4450938364893582E-2</v>
      </c>
      <c r="K9" s="22">
        <f>'펌프동력 계산기'!$D$27*(A9*'펌프동력 계산기'!$B$17)/'펌프동력 계산기'!$B$18</f>
        <v>4.4795089590179193E-2</v>
      </c>
      <c r="L9" s="10">
        <f>'펌프동력 계산기'!$B$6*K9*'펌프동력 계산기'!$B$10/'펌프동력 계산기'!$B$7</f>
        <v>2662.4409448818906</v>
      </c>
      <c r="M9" s="23">
        <f>IF(L9&lt;2100,16/L9,(-1.737*LN(0.269*'펌프동력 계산기'!$B$12/'펌프동력 계산기'!$B$10-(2.185/L9)*LN(0.269*'펌프동력 계산기'!$B$12/'펌프동력 계산기'!$B$10+14.5/L9)))^(-2))</f>
        <v>1.114757247222941E-2</v>
      </c>
      <c r="N9" s="22">
        <f>2*M9*K9^2*'펌프동력 계산기'!$B$27/'펌프동력 계산기'!$B$10</f>
        <v>1.8493823205084465E-3</v>
      </c>
      <c r="O9" s="10">
        <f>'펌프동력 계산기'!$B$6*A9*'펌프동력 계산기'!$B$11/'펌프동력 계산기'!$B$7</f>
        <v>7956.0000000000027</v>
      </c>
      <c r="P9" s="23">
        <f>IF(O9&lt;2100,16/O9,(-1.737*LN(0.269*'펌프동력 계산기'!$B$12/'펌프동력 계산기'!$B$11-(2.185/O9)*LN(0.269*'펌프동력 계산기'!$B$12/'펌프동력 계산기'!$B$11+14.5/O9)))^(-2))</f>
        <v>8.2280933335204011E-3</v>
      </c>
      <c r="Q9" s="22">
        <f>2*P9*A9^2*'펌프동력 계산기'!$B$28/'펌프동력 계산기'!$B$11</f>
        <v>1.0531959466906116</v>
      </c>
      <c r="R9" s="22">
        <f>'펌프동력 계산기'!$B$13*A9^2/2</f>
        <v>4.0000000000000008E-2</v>
      </c>
      <c r="S9" s="22">
        <f t="shared" si="0"/>
        <v>8.0000000000000016E-2</v>
      </c>
      <c r="T9" s="22">
        <f>'펌프동력 계산기'!$B$8*'펌프동력 계산기'!$B$14</f>
        <v>10.791000000000002</v>
      </c>
      <c r="U9" s="22">
        <f>F9+J9+'펌프동력 계산기'!$H$27+'펌프동력 계산기'!$H$28+'펌프동력 계산기'!$B$32+S9+T9</f>
        <v>115.03781350726898</v>
      </c>
      <c r="V9" s="11">
        <f>'펌프동력 계산기'!$B$6*('펌프동력 계산기'!$D$25*(A9*'펌프동력 계산기'!$B$17))*U9/'펌프동력 계산기'!$B$9</f>
        <v>73.320504771416651</v>
      </c>
    </row>
    <row r="10" spans="1:22">
      <c r="A10" s="9">
        <v>0.45</v>
      </c>
      <c r="B10" s="22">
        <f>'펌프동력 계산기'!$D$25*(A10*'펌프동력 계산기'!$B$17)*1000</f>
        <v>0.40856412459935271</v>
      </c>
      <c r="C10" s="22">
        <f>'펌프동력 계산기'!$D$25*(A10*'펌프동력 계산기'!$B$17)/'펌프동력 계산기'!$B$18</f>
        <v>0.20157790315580637</v>
      </c>
      <c r="D10" s="10">
        <f>'펌프동력 계산기'!$B$6*C10*'펌프동력 계산기'!$B$10/'펌프동력 계산기'!$B$7</f>
        <v>11980.984251968508</v>
      </c>
      <c r="E10" s="23">
        <f>IF(D10&lt;2100,16/D10,(-1.737*LN(0.269*'펌프동력 계산기'!$B$12/'펌프동력 계산기'!$B$10-(2.185/D10)*LN(0.269*'펌프동력 계산기'!$B$12/'펌프동력 계산기'!$B$10+14.5/D10)))^(-2))</f>
        <v>7.3847715334356958E-3</v>
      </c>
      <c r="F10" s="22">
        <f>2*E10*C10^2*'펌프동력 계산기'!$B$25/'펌프동력 계산기'!$B$10</f>
        <v>0.23627577126366886</v>
      </c>
      <c r="G10" s="22">
        <f>'펌프동력 계산기'!$D$26*(A10*'펌프동력 계산기'!$B$17)/'펌프동력 계산기'!$B$18</f>
        <v>0.10078895157790319</v>
      </c>
      <c r="H10" s="10">
        <f>'펌프동력 계산기'!$B$6*G10*'펌프동력 계산기'!$B$10/'펌프동력 계산기'!$B$7</f>
        <v>5990.492125984254</v>
      </c>
      <c r="I10" s="23">
        <f>IF(H10&lt;2100,16/H10,(-1.737*LN(0.269*'펌프동력 계산기'!$B$12/'펌프동력 계산기'!$B$10-(2.185/H10)*LN(0.269*'펌프동력 계산기'!$B$12/'펌프동력 계산기'!$B$10+14.5/H10)))^(-2))</f>
        <v>8.8562106451449164E-3</v>
      </c>
      <c r="J10" s="22">
        <f>2*I10*G10^2*'펌프동력 계산기'!$B$26/'펌프동력 계산기'!$B$10</f>
        <v>1.7709654178035297E-2</v>
      </c>
      <c r="K10" s="22">
        <f>'펌프동력 계산기'!$D$27*(A10*'펌프동력 계산기'!$B$17)/'펌프동력 계산기'!$B$18</f>
        <v>5.0394475788951593E-2</v>
      </c>
      <c r="L10" s="10">
        <f>'펌프동력 계산기'!$B$6*K10*'펌프동력 계산기'!$B$10/'펌프동력 계산기'!$B$7</f>
        <v>2995.246062992127</v>
      </c>
      <c r="M10" s="23">
        <f>IF(L10&lt;2100,16/L10,(-1.737*LN(0.269*'펌프동력 계산기'!$B$12/'펌프동력 계산기'!$B$10-(2.185/L10)*LN(0.269*'펌프동력 계산기'!$B$12/'펌프동력 계산기'!$B$10+14.5/L10)))^(-2))</f>
        <v>1.0767958207206958E-2</v>
      </c>
      <c r="N10" s="22">
        <f>2*M10*K10^2*'펌프동력 계산기'!$B$27/'펌프동력 계산기'!$B$10</f>
        <v>2.2609179577904488E-3</v>
      </c>
      <c r="O10" s="10">
        <f>'펌프동력 계산기'!$B$6*A10*'펌프동력 계산기'!$B$11/'펌프동력 계산기'!$B$7</f>
        <v>8950.5000000000036</v>
      </c>
      <c r="P10" s="23">
        <f>IF(O10&lt;2100,16/O10,(-1.737*LN(0.269*'펌프동력 계산기'!$B$12/'펌프동력 계산기'!$B$11-(2.185/O10)*LN(0.269*'펌프동력 계산기'!$B$12/'펌프동력 계산기'!$B$11+14.5/O10)))^(-2))</f>
        <v>7.9795648056485806E-3</v>
      </c>
      <c r="Q10" s="22">
        <f>2*P10*A10^2*'펌프동력 계산기'!$B$28/'펌프동력 계산기'!$B$11</f>
        <v>1.2926894985150701</v>
      </c>
      <c r="R10" s="22">
        <f>'펌프동력 계산기'!$B$13*A10^2/2</f>
        <v>5.0625000000000003E-2</v>
      </c>
      <c r="S10" s="22">
        <f t="shared" si="0"/>
        <v>0.10125000000000001</v>
      </c>
      <c r="T10" s="22">
        <f>'펌프동력 계산기'!$B$8*'펌프동력 계산기'!$B$14</f>
        <v>10.791000000000002</v>
      </c>
      <c r="U10" s="22">
        <f>F10+J10+'펌프동력 계산기'!$H$27+'펌프동력 계산기'!$H$28+'펌프동력 계산기'!$B$32+S10+T10</f>
        <v>115.1062354254417</v>
      </c>
      <c r="V10" s="11">
        <f>'펌프동력 계산기'!$B$6*('펌프동력 계산기'!$D$25*(A10*'펌프동력 계산기'!$B$17))*U10/'펌프동력 계산기'!$B$9</f>
        <v>82.534628438477142</v>
      </c>
    </row>
    <row r="11" spans="1:22">
      <c r="A11" s="9">
        <v>0.5</v>
      </c>
      <c r="B11" s="22">
        <f>'펌프동력 계산기'!$D$25*(A11*'펌프동력 계산기'!$B$17)*1000</f>
        <v>0.45396013844372518</v>
      </c>
      <c r="C11" s="22">
        <f>'펌프동력 계산기'!$D$25*(A11*'펌프동력 계산기'!$B$17)/'펌프동력 계산기'!$B$18</f>
        <v>0.22397544795089597</v>
      </c>
      <c r="D11" s="10">
        <f>'펌프동력 계산기'!$B$6*C11*'펌프동력 계산기'!$B$10/'펌프동력 계산기'!$B$7</f>
        <v>13312.204724409452</v>
      </c>
      <c r="E11" s="23">
        <f>IF(D11&lt;2100,16/D11,(-1.737*LN(0.269*'펌프동력 계산기'!$B$12/'펌프동력 계산기'!$B$10-(2.185/D11)*LN(0.269*'펌프동력 계산기'!$B$12/'펌프동력 계산기'!$B$10+14.5/D11)))^(-2))</f>
        <v>7.191805325309491E-3</v>
      </c>
      <c r="F11" s="22">
        <f>2*E11*C11^2*'펌프동력 계산기'!$B$25/'펌프동력 계산기'!$B$10</f>
        <v>0.28407631762536578</v>
      </c>
      <c r="G11" s="22">
        <f>'펌프동력 계산기'!$D$26*(A11*'펌프동력 계산기'!$B$17)/'펌프동력 계산기'!$B$18</f>
        <v>0.11198772397544798</v>
      </c>
      <c r="H11" s="10">
        <f>'펌프동력 계산기'!$B$6*G11*'펌프동력 계산기'!$B$10/'펌프동력 계산기'!$B$7</f>
        <v>6656.102362204726</v>
      </c>
      <c r="I11" s="23">
        <f>IF(H11&lt;2100,16/H11,(-1.737*LN(0.269*'펌프동력 계산기'!$B$12/'펌프동력 계산기'!$B$10-(2.185/H11)*LN(0.269*'펌프동력 계산기'!$B$12/'펌프동력 계산기'!$B$10+14.5/H11)))^(-2))</f>
        <v>8.6075371787900316E-3</v>
      </c>
      <c r="J11" s="22">
        <f>2*I11*G11^2*'펌프동력 계산기'!$B$26/'펌프동력 계산기'!$B$10</f>
        <v>2.1249857954380141E-2</v>
      </c>
      <c r="K11" s="22">
        <f>'펌프동력 계산기'!$D$27*(A11*'펌프동력 계산기'!$B$17)/'펌프동력 계산기'!$B$18</f>
        <v>5.5993861987723992E-2</v>
      </c>
      <c r="L11" s="10">
        <f>'펌프동력 계산기'!$B$6*K11*'펌프동력 계산기'!$B$10/'펌프동력 계산기'!$B$7</f>
        <v>3328.051181102363</v>
      </c>
      <c r="M11" s="23">
        <f>IF(L11&lt;2100,16/L11,(-1.737*LN(0.269*'펌프동력 계산기'!$B$12/'펌프동력 계산기'!$B$10-(2.185/L11)*LN(0.269*'펌프동력 계산기'!$B$12/'펌프동력 계산기'!$B$10+14.5/L11)))^(-2))</f>
        <v>1.0443091113276882E-2</v>
      </c>
      <c r="N11" s="22">
        <f>2*M11*K11^2*'펌프동력 계산기'!$B$27/'펌프동력 계산기'!$B$10</f>
        <v>2.7070450938514205E-3</v>
      </c>
      <c r="O11" s="10">
        <f>'펌프동력 계산기'!$B$6*A11*'펌프동력 계산기'!$B$11/'펌프동력 계산기'!$B$7</f>
        <v>9945.0000000000018</v>
      </c>
      <c r="P11" s="23">
        <f>IF(O11&lt;2100,16/O11,(-1.737*LN(0.269*'펌프동력 계산기'!$B$12/'펌프동력 계산기'!$B$11-(2.185/O11)*LN(0.269*'펌프동력 계산기'!$B$12/'펌프동력 계산기'!$B$11+14.5/O11)))^(-2))</f>
        <v>7.7662485148635397E-3</v>
      </c>
      <c r="Q11" s="22">
        <f>2*P11*A11^2*'펌프동력 계산기'!$B$28/'펌프동력 계산기'!$B$11</f>
        <v>1.5532497029727077</v>
      </c>
      <c r="R11" s="22">
        <f>'펌프동력 계산기'!$B$13*A11^2/2</f>
        <v>6.25E-2</v>
      </c>
      <c r="S11" s="22">
        <f t="shared" si="0"/>
        <v>0.125</v>
      </c>
      <c r="T11" s="22">
        <f>'펌프동력 계산기'!$B$8*'펌프동력 계산기'!$B$14</f>
        <v>10.791000000000002</v>
      </c>
      <c r="U11" s="22">
        <f>F11+J11+'펌프동력 계산기'!$H$27+'펌프동력 계산기'!$H$28+'펌프동력 계산기'!$B$32+S11+T11</f>
        <v>115.18132617557976</v>
      </c>
      <c r="V11" s="11">
        <f>'펌프동력 계산기'!$B$6*('펌프동력 계산기'!$D$25*(A11*'펌프동력 계산기'!$B$17))*U11/'펌프동력 계산기'!$B$9</f>
        <v>91.764967513280567</v>
      </c>
    </row>
    <row r="12" spans="1:22">
      <c r="A12" s="9">
        <v>0.55000000000000004</v>
      </c>
      <c r="B12" s="22">
        <f>'펌프동력 계산기'!$D$25*(A12*'펌프동력 계산기'!$B$17)*1000</f>
        <v>0.49935615228809777</v>
      </c>
      <c r="C12" s="22">
        <f>'펌프동력 계산기'!$D$25*(A12*'펌프동력 계산기'!$B$17)/'펌프동력 계산기'!$B$18</f>
        <v>0.24637299274598559</v>
      </c>
      <c r="D12" s="10">
        <f>'펌프동력 계산기'!$B$6*C12*'펌프동력 계산기'!$B$10/'펌프동력 계산기'!$B$7</f>
        <v>14643.4251968504</v>
      </c>
      <c r="E12" s="23">
        <f>IF(D12&lt;2100,16/D12,(-1.737*LN(0.269*'펌프동력 계산기'!$B$12/'펌프동력 계산기'!$B$10-(2.185/D12)*LN(0.269*'펌프동력 계산기'!$B$12/'펌프동력 계산기'!$B$10+14.5/D12)))^(-2))</f>
        <v>7.0233549841030168E-3</v>
      </c>
      <c r="F12" s="22">
        <f>2*E12*C12^2*'펌프동력 계산기'!$B$25/'펌프동력 계산기'!$B$10</f>
        <v>0.33568126006252835</v>
      </c>
      <c r="G12" s="22">
        <f>'펌프동력 계산기'!$D$26*(A12*'펌프동력 계산기'!$B$17)/'펌프동력 계산기'!$B$18</f>
        <v>0.1231864963729928</v>
      </c>
      <c r="H12" s="10">
        <f>'펌프동력 계산기'!$B$6*G12*'펌프동력 계산기'!$B$10/'펌프동력 계산기'!$B$7</f>
        <v>7321.7125984251998</v>
      </c>
      <c r="I12" s="23">
        <f>IF(H12&lt;2100,16/H12,(-1.737*LN(0.269*'펌프동력 계산기'!$B$12/'펌프동력 계산기'!$B$10-(2.185/H12)*LN(0.269*'펌프동력 계산기'!$B$12/'펌프동력 계산기'!$B$10+14.5/H12)))^(-2))</f>
        <v>8.3908792990212734E-3</v>
      </c>
      <c r="J12" s="22">
        <f>2*I12*G12^2*'펌프동력 계산기'!$B$26/'펌프동력 계산기'!$B$10</f>
        <v>2.506513039800249E-2</v>
      </c>
      <c r="K12" s="22">
        <f>'펌프동력 계산기'!$D$27*(A12*'펌프동력 계산기'!$B$17)/'펌프동력 계산기'!$B$18</f>
        <v>6.1593248186496398E-2</v>
      </c>
      <c r="L12" s="10">
        <f>'펌프동력 계산기'!$B$6*K12*'펌프동력 계산기'!$B$10/'펌프동력 계산기'!$B$7</f>
        <v>3660.8562992125999</v>
      </c>
      <c r="M12" s="23">
        <f>IF(L12&lt;2100,16/L12,(-1.737*LN(0.269*'펌프동력 계산기'!$B$12/'펌프동력 계산기'!$B$10-(2.185/L12)*LN(0.269*'펌프동력 계산기'!$B$12/'펌프동력 계산기'!$B$10+14.5/L12)))^(-2))</f>
        <v>1.0160605013003971E-2</v>
      </c>
      <c r="N12" s="22">
        <f>2*M12*K12^2*'펌프동력 계산기'!$B$27/'펌프동력 계산기'!$B$10</f>
        <v>3.1869214717867612E-3</v>
      </c>
      <c r="O12" s="10">
        <f>'펌프동력 계산기'!$B$6*A12*'펌프동력 계산기'!$B$11/'펌프동력 계산기'!$B$7</f>
        <v>10939.500000000002</v>
      </c>
      <c r="P12" s="23">
        <f>IF(O12&lt;2100,16/O12,(-1.737*LN(0.269*'펌프동력 계산기'!$B$12/'펌프동력 계산기'!$B$11-(2.185/O12)*LN(0.269*'펌프동력 계산기'!$B$12/'펌프동력 계산기'!$B$11+14.5/O12)))^(-2))</f>
        <v>7.580272451755697E-3</v>
      </c>
      <c r="Q12" s="22">
        <f>2*P12*A12^2*'펌프동력 계산기'!$B$28/'펌프동력 계산기'!$B$11</f>
        <v>1.8344259333248787</v>
      </c>
      <c r="R12" s="22">
        <f>'펌프동력 계산기'!$B$13*A12^2/2</f>
        <v>7.5625000000000012E-2</v>
      </c>
      <c r="S12" s="22">
        <f t="shared" si="0"/>
        <v>0.15125000000000002</v>
      </c>
      <c r="T12" s="22">
        <f>'펌프동력 계산기'!$B$8*'펌프동력 계산기'!$B$14</f>
        <v>10.791000000000002</v>
      </c>
      <c r="U12" s="22">
        <f>F12+J12+'펌프동력 계산기'!$H$27+'펌프동력 계산기'!$H$28+'펌프동력 계산기'!$B$32+S12+T12</f>
        <v>115.26299639046053</v>
      </c>
      <c r="V12" s="11">
        <f>'펌프동력 계산기'!$B$6*('펌프동력 계산기'!$D$25*(A12*'펌프동력 계산기'!$B$17))*U12/'펌프동력 계산기'!$B$9</f>
        <v>101.01303759468391</v>
      </c>
    </row>
    <row r="13" spans="1:22">
      <c r="A13" s="9">
        <v>0.6</v>
      </c>
      <c r="B13" s="22">
        <f>'펌프동력 계산기'!$D$25*(A13*'펌프동력 계산기'!$B$17)*1000</f>
        <v>0.54475216613247024</v>
      </c>
      <c r="C13" s="22">
        <f>'펌프동력 계산기'!$D$25*(A13*'펌프동력 계산기'!$B$17)/'펌프동력 계산기'!$B$18</f>
        <v>0.26877053754107516</v>
      </c>
      <c r="D13" s="10">
        <f>'펌프동력 계산기'!$B$6*C13*'펌프동력 계산기'!$B$10/'펌프동력 계산기'!$B$7</f>
        <v>15974.645669291345</v>
      </c>
      <c r="E13" s="23">
        <f>IF(D13&lt;2100,16/D13,(-1.737*LN(0.269*'펌프동력 계산기'!$B$12/'펌프동력 계산기'!$B$10-(2.185/D13)*LN(0.269*'펌프동력 계산기'!$B$12/'펌프동력 계산기'!$B$10+14.5/D13)))^(-2))</f>
        <v>6.874434512052361E-3</v>
      </c>
      <c r="F13" s="22">
        <f>2*E13*C13^2*'펌프동력 계산기'!$B$25/'펌프동력 계산기'!$B$10</f>
        <v>0.39101784506011972</v>
      </c>
      <c r="G13" s="22">
        <f>'펌프동력 계산기'!$D$26*(A13*'펌프동력 계산기'!$B$17)/'펌프동력 계산기'!$B$18</f>
        <v>0.13438526877053758</v>
      </c>
      <c r="H13" s="10">
        <f>'펌프동력 계산기'!$B$6*G13*'펌프동력 계산기'!$B$10/'펌프동력 계산기'!$B$7</f>
        <v>7987.3228346456726</v>
      </c>
      <c r="I13" s="23">
        <f>IF(H13&lt;2100,16/H13,(-1.737*LN(0.269*'펌프동력 계산기'!$B$12/'펌프동력 계산기'!$B$10-(2.185/H13)*LN(0.269*'펌프동력 계산기'!$B$12/'펌프동력 계산기'!$B$10+14.5/H13)))^(-2))</f>
        <v>8.1996755111427583E-3</v>
      </c>
      <c r="J13" s="22">
        <f>2*I13*G13^2*'펌프동력 계산기'!$B$26/'펌프동력 계산기'!$B$10</f>
        <v>2.9149847188685896E-2</v>
      </c>
      <c r="K13" s="22">
        <f>'펌프동력 계산기'!$D$27*(A13*'펌프동력 계산기'!$B$17)/'펌프동력 계산기'!$B$18</f>
        <v>6.719263438526879E-2</v>
      </c>
      <c r="L13" s="10">
        <f>'펌프동력 계산기'!$B$6*K13*'펌프동력 계산기'!$B$10/'펌프동력 계산기'!$B$7</f>
        <v>3993.6614173228363</v>
      </c>
      <c r="M13" s="23">
        <f>IF(L13&lt;2100,16/L13,(-1.737*LN(0.269*'펌프동력 계산기'!$B$12/'펌프동력 계산기'!$B$10-(2.185/L13)*LN(0.269*'펌프동력 계산기'!$B$12/'펌프동력 계산기'!$B$10+14.5/L13)))^(-2))</f>
        <v>9.911754495706698E-3</v>
      </c>
      <c r="N13" s="22">
        <f>2*M13*K13^2*'펌프동력 계산기'!$B$27/'펌프동력 계산기'!$B$10</f>
        <v>3.6998102541428721E-3</v>
      </c>
      <c r="O13" s="10">
        <f>'펌프동력 계산기'!$B$6*A13*'펌프동력 계산기'!$B$11/'펌프동력 계산기'!$B$7</f>
        <v>11934.000000000002</v>
      </c>
      <c r="P13" s="23">
        <f>IF(O13&lt;2100,16/O13,(-1.737*LN(0.269*'펌프동력 계산기'!$B$12/'펌프동력 계산기'!$B$11-(2.185/O13)*LN(0.269*'펌프동력 계산기'!$B$12/'펌프동력 계산기'!$B$11+14.5/O13)))^(-2))</f>
        <v>7.4160548837853548E-3</v>
      </c>
      <c r="Q13" s="22">
        <f>2*P13*A13^2*'펌프동력 계산기'!$B$28/'펌프동력 계산기'!$B$11</f>
        <v>2.135823806530182</v>
      </c>
      <c r="R13" s="22">
        <f>'펌프동력 계산기'!$B$13*A13^2/2</f>
        <v>0.09</v>
      </c>
      <c r="S13" s="22">
        <f t="shared" si="0"/>
        <v>0.18</v>
      </c>
      <c r="T13" s="22">
        <f>'펌프동력 계산기'!$B$8*'펌프동력 계산기'!$B$14</f>
        <v>10.791000000000002</v>
      </c>
      <c r="U13" s="22">
        <f>F13+J13+'펌프동력 계산기'!$H$27+'펌프동력 계산기'!$H$28+'펌프동력 계산기'!$B$32+S13+T13</f>
        <v>115.35116769224882</v>
      </c>
      <c r="V13" s="11">
        <f>'펌프동력 계산기'!$B$6*('펌프동력 계산기'!$D$25*(A13*'펌프동력 계산기'!$B$17))*U13/'펌프동력 계산기'!$B$9</f>
        <v>110.28033630829044</v>
      </c>
    </row>
    <row r="14" spans="1:22">
      <c r="A14" s="9">
        <v>0.65</v>
      </c>
      <c r="B14" s="22">
        <f>'펌프동력 계산기'!$D$25*(A14*'펌프동력 계산기'!$B$17)*1000</f>
        <v>0.59014817997684277</v>
      </c>
      <c r="C14" s="22">
        <f>'펌프동력 계산기'!$D$25*(A14*'펌프동력 계산기'!$B$17)/'펌프동력 계산기'!$B$18</f>
        <v>0.29116808233616476</v>
      </c>
      <c r="D14" s="10">
        <f>'펌프동력 계산기'!$B$6*C14*'펌프동력 계산기'!$B$10/'펌프동력 계산기'!$B$7</f>
        <v>17305.866141732287</v>
      </c>
      <c r="E14" s="23">
        <f>IF(D14&lt;2100,16/D14,(-1.737*LN(0.269*'펌프동력 계산기'!$B$12/'펌프동력 계산기'!$B$10-(2.185/D14)*LN(0.269*'펌프동력 계산기'!$B$12/'펌프동력 계산기'!$B$10+14.5/D14)))^(-2))</f>
        <v>6.7413896872977868E-3</v>
      </c>
      <c r="F14" s="22">
        <f>2*E14*C14^2*'펌프동력 계산기'!$B$25/'펌프동력 계산기'!$B$10</f>
        <v>0.45002148010132104</v>
      </c>
      <c r="G14" s="22">
        <f>'펌프동력 계산기'!$D$26*(A14*'펌프동력 계산기'!$B$17)/'펌프동력 계산기'!$B$18</f>
        <v>0.14558404116808238</v>
      </c>
      <c r="H14" s="10">
        <f>'펌프동력 계산기'!$B$6*G14*'펌프동력 계산기'!$B$10/'펌프동력 계산기'!$B$7</f>
        <v>8652.9330708661437</v>
      </c>
      <c r="I14" s="23">
        <f>IF(H14&lt;2100,16/H14,(-1.737*LN(0.269*'펌프동력 계산기'!$B$12/'펌프동력 계산기'!$B$10-(2.185/H14)*LN(0.269*'펌프동력 계산기'!$B$12/'펌프동력 계산기'!$B$10+14.5/H14)))^(-2))</f>
        <v>8.0291258663095916E-3</v>
      </c>
      <c r="J14" s="22">
        <f>2*I14*G14^2*'펌프동력 계산기'!$B$26/'펌프동력 계산기'!$B$10</f>
        <v>3.349901943330607E-2</v>
      </c>
      <c r="K14" s="22">
        <f>'펌프동력 계산기'!$D$27*(A14*'펌프동력 계산기'!$B$17)/'펌프동력 계산기'!$B$18</f>
        <v>7.2792020584041189E-2</v>
      </c>
      <c r="L14" s="10">
        <f>'펌프동력 계산기'!$B$6*K14*'펌프동력 계산기'!$B$10/'펌프동력 계산기'!$B$7</f>
        <v>4326.4665354330718</v>
      </c>
      <c r="M14" s="23">
        <f>IF(L14&lt;2100,16/L14,(-1.737*LN(0.269*'펌프동력 계산기'!$B$12/'펌프동력 계산기'!$B$10-(2.185/L14)*LN(0.269*'펌프동력 계산기'!$B$12/'펌프동력 계산기'!$B$10+14.5/L14)))^(-2))</f>
        <v>9.690151643125814E-3</v>
      </c>
      <c r="N14" s="22">
        <f>2*M14*K14^2*'펌프동력 계산기'!$B$27/'펌프동력 계산기'!$B$10</f>
        <v>4.245058712370792E-3</v>
      </c>
      <c r="O14" s="10">
        <f>'펌프동력 계산기'!$B$6*A14*'펌프동력 계산기'!$B$11/'펌프동력 계산기'!$B$7</f>
        <v>12928.500000000002</v>
      </c>
      <c r="P14" s="23">
        <f>IF(O14&lt;2100,16/O14,(-1.737*LN(0.269*'펌프동력 계산기'!$B$12/'펌프동력 계산기'!$B$11-(2.185/O14)*LN(0.269*'펌프동력 계산기'!$B$12/'펌프동력 계산기'!$B$11+14.5/O14)))^(-2))</f>
        <v>7.2695086180013593E-3</v>
      </c>
      <c r="Q14" s="22">
        <f>2*P14*A14^2*'펌프동력 계산기'!$B$28/'펌프동력 계산기'!$B$11</f>
        <v>2.4570939128844596</v>
      </c>
      <c r="R14" s="22">
        <f>'펌프동력 계산기'!$B$13*A14^2/2</f>
        <v>0.10562500000000001</v>
      </c>
      <c r="S14" s="22">
        <f t="shared" si="0"/>
        <v>0.21125000000000002</v>
      </c>
      <c r="T14" s="22">
        <f>'펌프동력 계산기'!$B$8*'펌프동력 계산기'!$B$14</f>
        <v>10.791000000000002</v>
      </c>
      <c r="U14" s="22">
        <f>F14+J14+'펌프동력 계산기'!$H$27+'펌프동력 계산기'!$H$28+'펌프동력 계산기'!$B$32+S14+T14</f>
        <v>115.44577049953463</v>
      </c>
      <c r="V14" s="11">
        <f>'펌프동력 계산기'!$B$6*('펌프동력 계산기'!$D$25*(A14*'펌프동력 계산기'!$B$17))*U14/'펌프동력 계산기'!$B$9</f>
        <v>119.56834541279976</v>
      </c>
    </row>
    <row r="15" spans="1:22">
      <c r="A15" s="9">
        <v>0.7</v>
      </c>
      <c r="B15" s="22">
        <f>'펌프동력 계산기'!$D$25*(A15*'펌프동력 계산기'!$B$17)*1000</f>
        <v>0.63554419382121519</v>
      </c>
      <c r="C15" s="22">
        <f>'펌프동력 계산기'!$D$25*(A15*'펌프동력 계산기'!$B$17)/'펌프동력 계산기'!$B$18</f>
        <v>0.3135656271312543</v>
      </c>
      <c r="D15" s="10">
        <f>'펌프동력 계산기'!$B$6*C15*'펌프동력 계산기'!$B$10/'펌프동력 계산기'!$B$7</f>
        <v>18637.086614173229</v>
      </c>
      <c r="E15" s="23">
        <f>IF(D15&lt;2100,16/D15,(-1.737*LN(0.269*'펌프동력 계산기'!$B$12/'펌프동력 계산기'!$B$10-(2.185/D15)*LN(0.269*'펌프동력 계산기'!$B$12/'펌프동력 계산기'!$B$10+14.5/D15)))^(-2))</f>
        <v>6.6214702139679744E-3</v>
      </c>
      <c r="F15" s="22">
        <f>2*E15*C15^2*'펌프동력 계산기'!$B$25/'펌프동력 계산기'!$B$10</f>
        <v>0.51263423709476874</v>
      </c>
      <c r="G15" s="22">
        <f>'펌프동력 계산기'!$D$26*(A15*'펌프동력 계산기'!$B$17)/'펌프동력 계산기'!$B$18</f>
        <v>0.15678281356562715</v>
      </c>
      <c r="H15" s="10">
        <f>'펌프동력 계산기'!$B$6*G15*'펌프동력 계산기'!$B$10/'펌프동력 계산기'!$B$7</f>
        <v>9318.5433070866147</v>
      </c>
      <c r="I15" s="23">
        <f>IF(H15&lt;2100,16/H15,(-1.737*LN(0.269*'펌프동력 계산기'!$B$12/'펌프동력 계산기'!$B$10-(2.185/H15)*LN(0.269*'펌프동력 계산기'!$B$12/'펌프동력 계산기'!$B$10+14.5/H15)))^(-2))</f>
        <v>7.8756239637127173E-3</v>
      </c>
      <c r="J15" s="22">
        <f>2*I15*G15^2*'펌프동력 계산기'!$B$26/'펌프동력 계산기'!$B$10</f>
        <v>3.8108176430425175E-2</v>
      </c>
      <c r="K15" s="22">
        <f>'펌프동력 계산기'!$D$27*(A15*'펌프동력 계산기'!$B$17)/'펌프동력 계산기'!$B$18</f>
        <v>7.8391406782813575E-2</v>
      </c>
      <c r="L15" s="10">
        <f>'펌프동력 계산기'!$B$6*K15*'펌프동력 계산기'!$B$10/'펌프동력 계산기'!$B$7</f>
        <v>4659.2716535433074</v>
      </c>
      <c r="M15" s="23">
        <f>IF(L15&lt;2100,16/L15,(-1.737*LN(0.269*'펌프동력 계산기'!$B$12/'펌프동력 계산기'!$B$10-(2.185/L15)*LN(0.269*'펌프동력 계산기'!$B$12/'펌프동력 계산기'!$B$10+14.5/L15)))^(-2))</f>
        <v>9.4910038735371762E-3</v>
      </c>
      <c r="N15" s="22">
        <f>2*M15*K15^2*'펌프동력 계산기'!$B$27/'펌프동력 계산기'!$B$10</f>
        <v>4.8220825977743033E-3</v>
      </c>
      <c r="O15" s="10">
        <f>'펌프동력 계산기'!$B$6*A15*'펌프동력 계산기'!$B$11/'펌프동력 계산기'!$B$7</f>
        <v>13923</v>
      </c>
      <c r="P15" s="23">
        <f>IF(O15&lt;2100,16/O15,(-1.737*LN(0.269*'펌프동력 계산기'!$B$12/'펌프동력 계산기'!$B$11-(2.185/O15)*LN(0.269*'펌프동력 계산기'!$B$12/'펌프동력 계산기'!$B$11+14.5/O15)))^(-2))</f>
        <v>7.1375600235408249E-3</v>
      </c>
      <c r="Q15" s="22">
        <f>2*P15*A15^2*'펌프동력 계산기'!$B$28/'펌프동력 계산기'!$B$11</f>
        <v>2.7979235292280031</v>
      </c>
      <c r="R15" s="22">
        <f>'펌프동력 계산기'!$B$13*A15^2/2</f>
        <v>0.12249999999999998</v>
      </c>
      <c r="S15" s="22">
        <f t="shared" si="0"/>
        <v>0.24499999999999997</v>
      </c>
      <c r="T15" s="22">
        <f>'펌프동력 계산기'!$B$8*'펌프동력 계산기'!$B$14</f>
        <v>10.791000000000002</v>
      </c>
      <c r="U15" s="22">
        <f>F15+J15+'펌프동력 계산기'!$H$27+'펌프동력 계산기'!$H$28+'펌프동력 계산기'!$B$32+S15+T15</f>
        <v>115.54674241352521</v>
      </c>
      <c r="V15" s="11">
        <f>'펌프동력 계산기'!$B$6*('펌프동력 계산기'!$D$25*(A15*'펌프동력 계산기'!$B$17))*U15/'펌프동력 계산기'!$B$9</f>
        <v>128.87853250405445</v>
      </c>
    </row>
    <row r="16" spans="1:22">
      <c r="A16" s="9">
        <v>0.75</v>
      </c>
      <c r="B16" s="22">
        <f>'펌프동력 계산기'!$D$25*(A16*'펌프동력 계산기'!$B$17)*1000</f>
        <v>0.68094020766558772</v>
      </c>
      <c r="C16" s="22">
        <f>'펌프동력 계산기'!$D$25*(A16*'펌프동력 계산기'!$B$17)/'펌프동력 계산기'!$B$18</f>
        <v>0.3359631719263439</v>
      </c>
      <c r="D16" s="10">
        <f>'펌프동력 계산기'!$B$6*C16*'펌프동력 계산기'!$B$10/'펌프동력 계산기'!$B$7</f>
        <v>19968.307086614179</v>
      </c>
      <c r="E16" s="23">
        <f>IF(D16&lt;2100,16/D16,(-1.737*LN(0.269*'펌프동력 계산기'!$B$12/'펌프동력 계산기'!$B$10-(2.185/D16)*LN(0.269*'펌프동력 계산기'!$B$12/'펌프동력 계산기'!$B$10+14.5/D16)))^(-2))</f>
        <v>6.5125592862364098E-3</v>
      </c>
      <c r="F16" s="22">
        <f>2*E16*C16^2*'펌프동력 계산기'!$B$25/'펌프동력 계산기'!$B$10</f>
        <v>0.57880372138833347</v>
      </c>
      <c r="G16" s="22">
        <f>'펌프동력 계산기'!$D$26*(A16*'펌프동력 계산기'!$B$17)/'펌프동력 계산기'!$B$18</f>
        <v>0.16798158596317195</v>
      </c>
      <c r="H16" s="10">
        <f>'펌프동력 계산기'!$B$6*G16*'펌프동력 계산기'!$B$10/'펌프동력 계산기'!$B$7</f>
        <v>9984.1535433070894</v>
      </c>
      <c r="I16" s="23">
        <f>IF(H16&lt;2100,16/H16,(-1.737*LN(0.269*'펌프동력 계산기'!$B$12/'펌프동력 계산기'!$B$10-(2.185/H16)*LN(0.269*'펌프동력 계산기'!$B$12/'펌프동력 계산기'!$B$10+14.5/H16)))^(-2))</f>
        <v>7.7363985105599227E-3</v>
      </c>
      <c r="J16" s="22">
        <f>2*I16*G16^2*'펌프동력 계산기'!$B$26/'펌프동력 계산기'!$B$10</f>
        <v>4.2973277202238966E-2</v>
      </c>
      <c r="K16" s="22">
        <f>'펌프동력 계산기'!$D$27*(A16*'펌프동력 계산기'!$B$17)/'펌프동력 계산기'!$B$18</f>
        <v>8.3990792981585974E-2</v>
      </c>
      <c r="L16" s="10">
        <f>'펌프동력 계산기'!$B$6*K16*'펌프동력 계산기'!$B$10/'펌프동력 계산기'!$B$7</f>
        <v>4992.0767716535447</v>
      </c>
      <c r="M16" s="23">
        <f>IF(L16&lt;2100,16/L16,(-1.737*LN(0.269*'펌프동력 계산기'!$B$12/'펌프동력 계산기'!$B$10-(2.185/L16)*LN(0.269*'펌프동력 계산기'!$B$12/'펌프동력 계산기'!$B$10+14.5/L16)))^(-2))</f>
        <v>9.3106334639149798E-3</v>
      </c>
      <c r="N16" s="22">
        <f>2*M16*K16^2*'펌프동력 계산기'!$B$27/'펌프동력 계산기'!$B$10</f>
        <v>5.4303543675843823E-3</v>
      </c>
      <c r="O16" s="10">
        <f>'펌프동력 계산기'!$B$6*A16*'펌프동력 계산기'!$B$11/'펌프동력 계산기'!$B$7</f>
        <v>14917.500000000002</v>
      </c>
      <c r="P16" s="23">
        <f>IF(O16&lt;2100,16/O16,(-1.737*LN(0.269*'펌프동력 계산기'!$B$12/'펌프동력 계산기'!$B$11-(2.185/O16)*LN(0.269*'펌프동력 계산기'!$B$12/'펌프동력 계산기'!$B$11+14.5/O16)))^(-2))</f>
        <v>7.0178452491437655E-3</v>
      </c>
      <c r="Q16" s="22">
        <f>2*P16*A16^2*'펌프동력 계산기'!$B$28/'펌프동력 계산기'!$B$11</f>
        <v>3.1580303621146943</v>
      </c>
      <c r="R16" s="22">
        <f>'펌프동력 계산기'!$B$13*A16^2/2</f>
        <v>0.140625</v>
      </c>
      <c r="S16" s="22">
        <f t="shared" si="0"/>
        <v>0.28125</v>
      </c>
      <c r="T16" s="22">
        <f>'펌프동력 계산기'!$B$8*'펌프동력 계산기'!$B$14</f>
        <v>10.791000000000002</v>
      </c>
      <c r="U16" s="22">
        <f>F16+J16+'펌프동력 계산기'!$H$27+'펌프동력 계산기'!$H$28+'펌프동력 계산기'!$B$32+S16+T16</f>
        <v>115.65402699859058</v>
      </c>
      <c r="V16" s="11">
        <f>'펌프동력 계산기'!$B$6*('펌프동력 계산기'!$D$25*(A16*'펌프동력 계산기'!$B$17))*U16/'펌프동력 계산기'!$B$9</f>
        <v>138.212352418927</v>
      </c>
    </row>
    <row r="17" spans="1:22">
      <c r="A17" s="9">
        <v>0.8</v>
      </c>
      <c r="B17" s="22">
        <f>'펌프동력 계산기'!$D$25*(A17*'펌프동력 계산기'!$B$17)*1000</f>
        <v>0.72633622150996024</v>
      </c>
      <c r="C17" s="22">
        <f>'펌프동력 계산기'!$D$25*(A17*'펌프동력 계산기'!$B$17)/'펌프동력 계산기'!$B$18</f>
        <v>0.35836071672143355</v>
      </c>
      <c r="D17" s="10">
        <f>'펌프동력 계산기'!$B$6*C17*'펌프동력 계산기'!$B$10/'펌프동력 계산기'!$B$7</f>
        <v>21299.527559055125</v>
      </c>
      <c r="E17" s="23">
        <f>IF(D17&lt;2100,16/D17,(-1.737*LN(0.269*'펌프동력 계산기'!$B$12/'펌프동력 계산기'!$B$10-(2.185/D17)*LN(0.269*'펌프동력 계산기'!$B$12/'펌프동력 계산기'!$B$10+14.5/D17)))^(-2))</f>
        <v>6.4129962545466518E-3</v>
      </c>
      <c r="F17" s="22">
        <f>2*E17*C17^2*'펌프동력 계산기'!$B$25/'펌프동력 계산기'!$B$10</f>
        <v>0.64848219786840555</v>
      </c>
      <c r="G17" s="22">
        <f>'펌프동력 계산기'!$D$26*(A17*'펌프동력 계산기'!$B$17)/'펌프동력 계산기'!$B$18</f>
        <v>0.17918035836071677</v>
      </c>
      <c r="H17" s="10">
        <f>'펌프동력 계산기'!$B$6*G17*'펌프동력 계산기'!$B$10/'펌프동력 계산기'!$B$7</f>
        <v>10649.763779527562</v>
      </c>
      <c r="I17" s="23">
        <f>IF(H17&lt;2100,16/H17,(-1.737*LN(0.269*'펌프동력 계산기'!$B$12/'펌프동력 계산기'!$B$10-(2.185/H17)*LN(0.269*'펌프동력 계산기'!$B$12/'펌프동력 계산기'!$B$10+14.5/H17)))^(-2))</f>
        <v>7.6092786383450978E-3</v>
      </c>
      <c r="J17" s="22">
        <f>2*I17*G17^2*'펌프동력 계산기'!$B$26/'펌프동력 계산기'!$B$10</f>
        <v>4.8090642226017936E-2</v>
      </c>
      <c r="K17" s="22">
        <f>'펌프동력 계산기'!$D$27*(A17*'펌프동력 계산기'!$B$17)/'펌프동력 계산기'!$B$18</f>
        <v>8.9590179180358387E-2</v>
      </c>
      <c r="L17" s="10">
        <f>'펌프동력 계산기'!$B$6*K17*'펌프동력 계산기'!$B$10/'펌프동력 계산기'!$B$7</f>
        <v>5324.8818897637811</v>
      </c>
      <c r="M17" s="23">
        <f>IF(L17&lt;2100,16/L17,(-1.737*LN(0.269*'펌프동력 계산기'!$B$12/'펌프동력 계산기'!$B$10-(2.185/L17)*LN(0.269*'펌프동력 계산기'!$B$12/'펌프동력 계산기'!$B$10+14.5/L17)))^(-2))</f>
        <v>9.146163287836925E-3</v>
      </c>
      <c r="N17" s="22">
        <f>2*M17*K17^2*'펌프동력 계산기'!$B$27/'펌프동력 계산기'!$B$10</f>
        <v>6.0693941132553041E-3</v>
      </c>
      <c r="O17" s="10">
        <f>'펌프동력 계산기'!$B$6*A17*'펌프동력 계산기'!$B$11/'펌프동력 계산기'!$B$7</f>
        <v>15912.000000000005</v>
      </c>
      <c r="P17" s="23">
        <f>IF(O17&lt;2100,16/O17,(-1.737*LN(0.269*'펌프동력 계산기'!$B$12/'펌프동력 계산기'!$B$11-(2.185/O17)*LN(0.269*'펌프동력 계산기'!$B$12/'펌프동력 계산기'!$B$11+14.5/O17)))^(-2))</f>
        <v>6.9085111665832958E-3</v>
      </c>
      <c r="Q17" s="22">
        <f>2*P17*A17^2*'펌프동력 계산기'!$B$28/'펌프동력 계산기'!$B$11</f>
        <v>3.5371577172906479</v>
      </c>
      <c r="R17" s="22">
        <f>'펌프동력 계산기'!$B$13*A17^2/2</f>
        <v>0.16000000000000003</v>
      </c>
      <c r="S17" s="22">
        <f t="shared" si="0"/>
        <v>0.32000000000000006</v>
      </c>
      <c r="T17" s="22">
        <f>'펌프동력 계산기'!$B$8*'펌프동력 계산기'!$B$14</f>
        <v>10.791000000000002</v>
      </c>
      <c r="U17" s="22">
        <f>F17+J17+'펌프동력 계산기'!$H$27+'펌프동력 계산기'!$H$28+'펌프동력 계산기'!$B$32+S17+T17</f>
        <v>115.76757284009443</v>
      </c>
      <c r="V17" s="11">
        <f>'펌프동력 계산기'!$B$6*('펌프동력 계산기'!$D$25*(A17*'펌프동력 계산기'!$B$17))*U17/'펌프동력 계산기'!$B$9</f>
        <v>147.5712484097435</v>
      </c>
    </row>
    <row r="18" spans="1:22">
      <c r="A18" s="9">
        <v>0.85</v>
      </c>
      <c r="B18" s="22">
        <f>'펌프동력 계산기'!$D$25*(A18*'펌프동력 계산기'!$B$17)*1000</f>
        <v>0.77173223535433277</v>
      </c>
      <c r="C18" s="22">
        <f>'펌프동력 계산기'!$D$25*(A18*'펌프동력 계산기'!$B$17)/'펌프동력 계산기'!$B$18</f>
        <v>0.38075826151652314</v>
      </c>
      <c r="D18" s="10">
        <f>'펌프동력 계산기'!$B$6*C18*'펌프동력 계산기'!$B$10/'펌프동력 계산기'!$B$7</f>
        <v>22630.748031496067</v>
      </c>
      <c r="E18" s="23">
        <f>IF(D18&lt;2100,16/D18,(-1.737*LN(0.269*'펌프동력 계산기'!$B$12/'펌프동력 계산기'!$B$10-(2.185/D18)*LN(0.269*'펌프동력 계산기'!$B$12/'펌프동력 계산기'!$B$10+14.5/D18)))^(-2))</f>
        <v>6.3214566539050235E-3</v>
      </c>
      <c r="F18" s="22">
        <f>2*E18*C18^2*'펌프동력 계산기'!$B$25/'펌프동력 계산기'!$B$10</f>
        <v>0.72162590280850136</v>
      </c>
      <c r="G18" s="22">
        <f>'펌프동력 계산기'!$D$26*(A18*'펌프동력 계산기'!$B$17)/'펌프동력 계산기'!$B$18</f>
        <v>0.19037913075826157</v>
      </c>
      <c r="H18" s="10">
        <f>'펌프동력 계산기'!$B$6*G18*'펌프동력 계산기'!$B$10/'펌프동력 계산기'!$B$7</f>
        <v>11315.374015748033</v>
      </c>
      <c r="I18" s="23">
        <f>IF(H18&lt;2100,16/H18,(-1.737*LN(0.269*'펌프동력 계산기'!$B$12/'펌프동력 계산기'!$B$10-(2.185/H18)*LN(0.269*'펌프동력 계산기'!$B$12/'펌프동력 계산기'!$B$10+14.5/H18)))^(-2))</f>
        <v>7.4925353592979861E-3</v>
      </c>
      <c r="J18" s="22">
        <f>2*I18*G18^2*'펌프동력 계산기'!$B$26/'펌프동력 계산기'!$B$10</f>
        <v>5.3456899740406544E-2</v>
      </c>
      <c r="K18" s="22">
        <f>'펌프동력 계산기'!$D$27*(A18*'펌프동력 계산기'!$B$17)/'펌프동력 계산기'!$B$18</f>
        <v>9.5189565379130786E-2</v>
      </c>
      <c r="L18" s="10">
        <f>'펌프동력 계산기'!$B$6*K18*'펌프동력 계산기'!$B$10/'펌프동력 계산기'!$B$7</f>
        <v>5657.6870078740167</v>
      </c>
      <c r="M18" s="23">
        <f>IF(L18&lt;2100,16/L18,(-1.737*LN(0.269*'펌프동력 계산기'!$B$12/'펌프동력 계산기'!$B$10-(2.185/L18)*LN(0.269*'펌프동력 계산기'!$B$12/'펌프동력 계산기'!$B$10+14.5/L18)))^(-2))</f>
        <v>8.9953047302838308E-3</v>
      </c>
      <c r="N18" s="22">
        <f>2*M18*K18^2*'펌프동력 계산기'!$B$27/'펌프동력 계산기'!$B$10</f>
        <v>6.7387624354642225E-3</v>
      </c>
      <c r="O18" s="10">
        <f>'펌프동력 계산기'!$B$6*A18*'펌프동력 계산기'!$B$11/'펌프동력 계산기'!$B$7</f>
        <v>16906.500000000004</v>
      </c>
      <c r="P18" s="23">
        <f>IF(O18&lt;2100,16/O18,(-1.737*LN(0.269*'펌프동력 계산기'!$B$12/'펌프동력 계산기'!$B$11-(2.185/O18)*LN(0.269*'펌프동력 계산기'!$B$12/'펌프동력 계산기'!$B$11+14.5/O18)))^(-2))</f>
        <v>6.8080807939676314E-3</v>
      </c>
      <c r="Q18" s="22">
        <f>2*P18*A18^2*'펌프동력 계산기'!$B$28/'펌프동력 계산기'!$B$11</f>
        <v>3.93507069891329</v>
      </c>
      <c r="R18" s="22">
        <f>'펌프동력 계산기'!$B$13*A18^2/2</f>
        <v>0.18062499999999998</v>
      </c>
      <c r="S18" s="22">
        <f t="shared" si="0"/>
        <v>0.36124999999999996</v>
      </c>
      <c r="T18" s="22">
        <f>'펌프동력 계산기'!$B$8*'펌프동력 계산기'!$B$14</f>
        <v>10.791000000000002</v>
      </c>
      <c r="U18" s="22">
        <f>F18+J18+'펌프동력 계산기'!$H$27+'펌프동력 계산기'!$H$28+'펌프동력 계산기'!$B$32+S18+T18</f>
        <v>115.8873328025489</v>
      </c>
      <c r="V18" s="11">
        <f>'펌프동력 계산기'!$B$6*('펌프동력 계산기'!$D$25*(A18*'펌프동력 계산기'!$B$17))*U18/'펌프동력 계산기'!$B$9</f>
        <v>156.95665313964929</v>
      </c>
    </row>
    <row r="19" spans="1:22">
      <c r="A19" s="9">
        <v>0.9</v>
      </c>
      <c r="B19" s="22">
        <f>'펌프동력 계산기'!$D$25*(A19*'펌프동력 계산기'!$B$17)*1000</f>
        <v>0.81712824919870541</v>
      </c>
      <c r="C19" s="22">
        <f>'펌프동력 계산기'!$D$25*(A19*'펌프동력 계산기'!$B$17)/'펌프동력 계산기'!$B$18</f>
        <v>0.40315580631161274</v>
      </c>
      <c r="D19" s="10">
        <f>'펌프동력 계산기'!$B$6*C19*'펌프동력 계산기'!$B$10/'펌프동력 계산기'!$B$7</f>
        <v>23961.968503937016</v>
      </c>
      <c r="E19" s="23">
        <f>IF(D19&lt;2100,16/D19,(-1.737*LN(0.269*'펌프동력 계산기'!$B$12/'펌프동력 계산기'!$B$10-(2.185/D19)*LN(0.269*'펌프동력 계산기'!$B$12/'펌프동력 계산기'!$B$10+14.5/D19)))^(-2))</f>
        <v>6.2368688281621331E-3</v>
      </c>
      <c r="F19" s="22">
        <f>2*E19*C19^2*'펌프동력 계산기'!$B$25/'펌프동력 계산기'!$B$10</f>
        <v>0.79819449307120494</v>
      </c>
      <c r="G19" s="22">
        <f>'펌프동력 계산기'!$D$26*(A19*'펌프동력 계산기'!$B$17)/'펌프동력 계산기'!$B$18</f>
        <v>0.20157790315580637</v>
      </c>
      <c r="H19" s="10">
        <f>'펌프동력 계산기'!$B$6*G19*'펌프동력 계산기'!$B$10/'펌프동력 계산기'!$B$7</f>
        <v>11980.984251968508</v>
      </c>
      <c r="I19" s="23">
        <f>IF(H19&lt;2100,16/H19,(-1.737*LN(0.269*'펌프동력 계산기'!$B$12/'펌프동력 계산기'!$B$10-(2.185/H19)*LN(0.269*'펌프동력 계산기'!$B$12/'펌프동력 계산기'!$B$10+14.5/H19)))^(-2))</f>
        <v>7.3847715334356958E-3</v>
      </c>
      <c r="J19" s="22">
        <f>2*I19*G19^2*'펌프동력 계산기'!$B$26/'펌프동력 계산기'!$B$10</f>
        <v>5.9068942815917215E-2</v>
      </c>
      <c r="K19" s="22">
        <f>'펌프동력 계산기'!$D$27*(A19*'펌프동력 계산기'!$B$17)/'펌프동력 계산기'!$B$18</f>
        <v>0.10078895157790319</v>
      </c>
      <c r="L19" s="10">
        <f>'펌프동력 계산기'!$B$6*K19*'펌프동력 계산기'!$B$10/'펌프동력 계산기'!$B$7</f>
        <v>5990.492125984254</v>
      </c>
      <c r="M19" s="23">
        <f>IF(L19&lt;2100,16/L19,(-1.737*LN(0.269*'펌프동력 계산기'!$B$12/'펌프동력 계산기'!$B$10-(2.185/L19)*LN(0.269*'펌프동력 계산기'!$B$12/'펌프동력 계산기'!$B$10+14.5/L19)))^(-2))</f>
        <v>8.8562106451449164E-3</v>
      </c>
      <c r="N19" s="22">
        <f>2*M19*K19^2*'펌프동력 계산기'!$B$27/'펌프동력 계산기'!$B$10</f>
        <v>7.4380547547748246E-3</v>
      </c>
      <c r="O19" s="10">
        <f>'펌프동력 계산기'!$B$6*A19*'펌프동력 계산기'!$B$11/'펌프동력 계산기'!$B$7</f>
        <v>17901.000000000007</v>
      </c>
      <c r="P19" s="23">
        <f>IF(O19&lt;2100,16/O19,(-1.737*LN(0.269*'펌프동력 계산기'!$B$12/'펌프동력 계산기'!$B$11-(2.185/O19)*LN(0.269*'펌프동력 계산기'!$B$12/'펌프동력 계산기'!$B$11+14.5/O19)))^(-2))</f>
        <v>6.7153598297333694E-3</v>
      </c>
      <c r="Q19" s="22">
        <f>2*P19*A19^2*'펌프동력 계산기'!$B$28/'펌프동력 계산기'!$B$11</f>
        <v>4.3515531696672234</v>
      </c>
      <c r="R19" s="22">
        <f>'펌프동력 계산기'!$B$13*A19^2/2</f>
        <v>0.20250000000000001</v>
      </c>
      <c r="S19" s="22">
        <f t="shared" si="0"/>
        <v>0.40500000000000003</v>
      </c>
      <c r="T19" s="22">
        <f>'펌프동력 계산기'!$B$8*'펌프동력 계산기'!$B$14</f>
        <v>10.791000000000002</v>
      </c>
      <c r="U19" s="22">
        <f>F19+J19+'펌프동력 계산기'!$H$27+'펌프동력 계산기'!$H$28+'펌프동력 계산기'!$B$32+S19+T19</f>
        <v>116.01326343588713</v>
      </c>
      <c r="V19" s="11">
        <f>'펌프동력 계산기'!$B$6*('펌프동력 계산기'!$D$25*(A19*'펌프동력 계산기'!$B$17))*U19/'펌프동력 계산기'!$B$9</f>
        <v>166.36998953576656</v>
      </c>
    </row>
    <row r="20" spans="1:22">
      <c r="A20" s="9">
        <v>0.95</v>
      </c>
      <c r="B20" s="22">
        <f>'펌프동력 계산기'!$D$25*(A20*'펌프동력 계산기'!$B$17)*1000</f>
        <v>0.86252426304307783</v>
      </c>
      <c r="C20" s="22">
        <f>'펌프동력 계산기'!$D$25*(A20*'펌프동력 계산기'!$B$17)/'펌프동력 계산기'!$B$18</f>
        <v>0.42555335110670228</v>
      </c>
      <c r="D20" s="10">
        <f>'펌프동력 계산기'!$B$6*C20*'펌프동력 계산기'!$B$10/'펌프동력 계산기'!$B$7</f>
        <v>25293.188976377958</v>
      </c>
      <c r="E20" s="23">
        <f>IF(D20&lt;2100,16/D20,(-1.737*LN(0.269*'펌프동력 계산기'!$B$12/'펌프동력 계산기'!$B$10-(2.185/D20)*LN(0.269*'펌프동력 계산기'!$B$12/'펌프동력 계산기'!$B$10+14.5/D20)))^(-2))</f>
        <v>6.1583546158239227E-3</v>
      </c>
      <c r="F20" s="22">
        <f>2*E20*C20^2*'펌프동력 계산기'!$B$25/'펌프동력 계산기'!$B$10</f>
        <v>0.87815059893422875</v>
      </c>
      <c r="G20" s="22">
        <f>'펌프동력 계산기'!$D$26*(A20*'펌프동력 계산기'!$B$17)/'펌프동력 계산기'!$B$18</f>
        <v>0.21277667555335114</v>
      </c>
      <c r="H20" s="10">
        <f>'펌프동력 계산기'!$B$6*G20*'펌프동력 계산기'!$B$10/'펌프동력 계산기'!$B$7</f>
        <v>12646.594488188979</v>
      </c>
      <c r="I20" s="23">
        <f>IF(H20&lt;2100,16/H20,(-1.737*LN(0.269*'펌프동력 계산기'!$B$12/'펌프동력 계산기'!$B$10-(2.185/H20)*LN(0.269*'펌프동력 계산기'!$B$12/'펌프동력 계산기'!$B$10+14.5/H20)))^(-2))</f>
        <v>7.2848436900951443E-3</v>
      </c>
      <c r="J20" s="22">
        <f>2*I20*G20^2*'펌프동력 계산기'!$B$26/'펌프동력 계산기'!$B$10</f>
        <v>6.4923894537122759E-2</v>
      </c>
      <c r="K20" s="22">
        <f>'펌프동력 계산기'!$D$27*(A20*'펌프동력 계산기'!$B$17)/'펌프동력 계산기'!$B$18</f>
        <v>0.10638833777667557</v>
      </c>
      <c r="L20" s="10">
        <f>'펌프동력 계산기'!$B$6*K20*'펌프동력 계산기'!$B$10/'펌프동력 계산기'!$B$7</f>
        <v>6323.2972440944895</v>
      </c>
      <c r="M20" s="23">
        <f>IF(L20&lt;2100,16/L20,(-1.737*LN(0.269*'펌프동력 계산기'!$B$12/'펌프동력 계산기'!$B$10-(2.185/L20)*LN(0.269*'펌프동력 계산기'!$B$12/'펌프동력 계산기'!$B$10+14.5/L20)))^(-2))</f>
        <v>8.727370985596632E-3</v>
      </c>
      <c r="N20" s="22">
        <f>2*M20*K20^2*'펌프동력 계산기'!$B$27/'펌프동력 계산기'!$B$10</f>
        <v>8.1668967027652382E-3</v>
      </c>
      <c r="O20" s="10">
        <f>'펌프동력 계산기'!$B$6*A20*'펌프동력 계산기'!$B$11/'펌프동력 계산기'!$B$7</f>
        <v>18895.500000000004</v>
      </c>
      <c r="P20" s="23">
        <f>IF(O20&lt;2100,16/O20,(-1.737*LN(0.269*'펌프동력 계산기'!$B$12/'펌프동력 계산기'!$B$11-(2.185/O20)*LN(0.269*'펌프동력 계산기'!$B$12/'펌프동력 계산기'!$B$11+14.5/O20)))^(-2))</f>
        <v>6.6293702001893043E-3</v>
      </c>
      <c r="Q20" s="22">
        <f>2*P20*A20^2*'펌프동력 계산기'!$B$28/'펌프동력 계산기'!$B$11</f>
        <v>4.7864052845366762</v>
      </c>
      <c r="R20" s="22">
        <f>'펌프동력 계산기'!$B$13*A20^2/2</f>
        <v>0.22562499999999999</v>
      </c>
      <c r="S20" s="22">
        <f t="shared" si="0"/>
        <v>0.45124999999999998</v>
      </c>
      <c r="T20" s="22">
        <f>'펌프동력 계산기'!$B$8*'펌프동력 계산기'!$B$14</f>
        <v>10.791000000000002</v>
      </c>
      <c r="U20" s="22">
        <f>F20+J20+'펌프동력 계산기'!$H$27+'펌프동력 계산기'!$H$28+'펌프동력 계산기'!$B$32+S20+T20</f>
        <v>116.14532449347136</v>
      </c>
      <c r="V20" s="11">
        <f>'펌프동력 계산기'!$B$6*('펌프동력 계산기'!$D$25*(A20*'펌프동력 계산기'!$B$17))*U20/'펌프동력 계산기'!$B$9</f>
        <v>175.81267152767657</v>
      </c>
    </row>
    <row r="21" spans="1:22">
      <c r="A21" s="9">
        <v>1</v>
      </c>
      <c r="B21" s="22">
        <f>'펌프동력 계산기'!$D$25*(A21*'펌프동력 계산기'!$B$17)*1000</f>
        <v>0.90792027688745036</v>
      </c>
      <c r="C21" s="22">
        <f>'펌프동력 계산기'!$D$25*(A21*'펌프동력 계산기'!$B$17)/'펌프동력 계산기'!$B$18</f>
        <v>0.44795089590179193</v>
      </c>
      <c r="D21" s="10">
        <f>'펌프동력 계산기'!$B$6*C21*'펌프동력 계산기'!$B$10/'펌프동력 계산기'!$B$7</f>
        <v>26624.409448818904</v>
      </c>
      <c r="E21" s="23">
        <f>IF(D21&lt;2100,16/D21,(-1.737*LN(0.269*'펌프동력 계산기'!$B$12/'펌프동력 계산기'!$B$10-(2.185/D21)*LN(0.269*'펌프동력 계산기'!$B$12/'펌프동력 계산기'!$B$10+14.5/D21)))^(-2))</f>
        <v>6.0851862775476153E-3</v>
      </c>
      <c r="F21" s="22">
        <f>2*E21*C21^2*'펌프동력 계산기'!$B$25/'펌프동력 계산기'!$B$10</f>
        <v>0.96145945647701081</v>
      </c>
      <c r="G21" s="22">
        <f>'펌프동력 계산기'!$D$26*(A21*'펌프동력 계산기'!$B$17)/'펌프동력 계산기'!$B$18</f>
        <v>0.22397544795089597</v>
      </c>
      <c r="H21" s="10">
        <f>'펌프동력 계산기'!$B$6*G21*'펌프동력 계산기'!$B$10/'펌프동력 계산기'!$B$7</f>
        <v>13312.204724409452</v>
      </c>
      <c r="I21" s="23">
        <f>IF(H21&lt;2100,16/H21,(-1.737*LN(0.269*'펌프동력 계산기'!$B$12/'펌프동력 계산기'!$B$10-(2.185/H21)*LN(0.269*'펌프동력 계산기'!$B$12/'펌프동력 계산기'!$B$10+14.5/H21)))^(-2))</f>
        <v>7.191805325309491E-3</v>
      </c>
      <c r="J21" s="22">
        <f>2*I21*G21^2*'펌프동력 계산기'!$B$26/'펌프동력 계산기'!$B$10</f>
        <v>7.1019079406341445E-2</v>
      </c>
      <c r="K21" s="22">
        <f>'펌프동력 계산기'!$D$27*(A21*'펌프동력 계산기'!$B$17)/'펌프동력 계산기'!$B$18</f>
        <v>0.11198772397544798</v>
      </c>
      <c r="L21" s="10">
        <f>'펌프동력 계산기'!$B$6*K21*'펌프동력 계산기'!$B$10/'펌프동력 계산기'!$B$7</f>
        <v>6656.102362204726</v>
      </c>
      <c r="M21" s="23">
        <f>IF(L21&lt;2100,16/L21,(-1.737*LN(0.269*'펌프동력 계산기'!$B$12/'펌프동력 계산기'!$B$10-(2.185/L21)*LN(0.269*'펌프동력 계산기'!$B$12/'펌프동력 계산기'!$B$10+14.5/L21)))^(-2))</f>
        <v>8.6075371787900316E-3</v>
      </c>
      <c r="N21" s="22">
        <f>2*M21*K21^2*'펌프동력 계산기'!$B$27/'펌프동력 계산기'!$B$10</f>
        <v>8.9249403408396613E-3</v>
      </c>
      <c r="O21" s="10">
        <f>'펌프동력 계산기'!$B$6*A21*'펌프동력 계산기'!$B$11/'펌프동력 계산기'!$B$7</f>
        <v>19890.000000000004</v>
      </c>
      <c r="P21" s="23">
        <f>IF(O21&lt;2100,16/O21,(-1.737*LN(0.269*'펌프동력 계산기'!$B$12/'펌프동력 계산기'!$B$11-(2.185/O21)*LN(0.269*'펌프동력 계산기'!$B$12/'펌프동력 계산기'!$B$11+14.5/O21)))^(-2))</f>
        <v>6.5493018309209601E-3</v>
      </c>
      <c r="Q21" s="22">
        <f>2*P21*A21^2*'펌프동력 계산기'!$B$28/'펌프동력 계산기'!$B$11</f>
        <v>5.2394414647367675</v>
      </c>
      <c r="R21" s="22">
        <f>'펌프동력 계산기'!$B$13*A21^2/2</f>
        <v>0.25</v>
      </c>
      <c r="S21" s="22">
        <f t="shared" si="0"/>
        <v>0.5</v>
      </c>
      <c r="T21" s="22">
        <f>'펌프동력 계산기'!$B$8*'펌프동력 계산기'!$B$14</f>
        <v>10.791000000000002</v>
      </c>
      <c r="U21" s="22">
        <f>F21+J21+'펌프동력 계산기'!$H$27+'펌프동력 계산기'!$H$28+'펌프동력 계산기'!$B$32+S21+T21</f>
        <v>116.28347853588335</v>
      </c>
      <c r="V21" s="11">
        <f>'펌프동력 계산기'!$B$6*('펌프동력 계산기'!$D$25*(A21*'펌프동력 계산기'!$B$17))*U21/'펌프동력 계산기'!$B$9</f>
        <v>185.28610469218509</v>
      </c>
    </row>
    <row r="22" spans="1:22">
      <c r="A22" s="9">
        <v>1.05</v>
      </c>
      <c r="B22" s="22">
        <f>'펌프동력 계산기'!$D$25*(A22*'펌프동력 계산기'!$B$17)*1000</f>
        <v>0.95331629073182289</v>
      </c>
      <c r="C22" s="22">
        <f>'펌프동력 계산기'!$D$25*(A22*'펌프동력 계산기'!$B$17)/'펌프동력 계산기'!$B$18</f>
        <v>0.47034844069688153</v>
      </c>
      <c r="D22" s="10">
        <f>'펌프동력 계산기'!$B$6*C22*'펌프동력 계산기'!$B$10/'펌프동력 계산기'!$B$7</f>
        <v>27955.62992125985</v>
      </c>
      <c r="E22" s="23">
        <f>IF(D22&lt;2100,16/D22,(-1.737*LN(0.269*'펌프동력 계산기'!$B$12/'펌프동력 계산기'!$B$10-(2.185/D22)*LN(0.269*'펌프동력 계산기'!$B$12/'펌프동력 계산기'!$B$10+14.5/D22)))^(-2))</f>
        <v>6.0167546437103758E-3</v>
      </c>
      <c r="F22" s="22">
        <f>2*E22*C22^2*'펌프동력 계산기'!$B$25/'펌프동력 계산기'!$B$10</f>
        <v>1.048088602004325</v>
      </c>
      <c r="G22" s="22">
        <f>'펌프동력 계산기'!$D$26*(A22*'펌프동력 계산기'!$B$17)/'펌프동력 계산기'!$B$18</f>
        <v>0.23517422034844077</v>
      </c>
      <c r="H22" s="10">
        <f>'펌프동력 계산기'!$B$6*G22*'펌프동력 계산기'!$B$10/'펌프동력 계산기'!$B$7</f>
        <v>13977.814960629925</v>
      </c>
      <c r="I22" s="23">
        <f>IF(H22&lt;2100,16/H22,(-1.737*LN(0.269*'펌프동력 계산기'!$B$12/'펌프동력 계산기'!$B$10-(2.185/H22)*LN(0.269*'펌프동력 계산기'!$B$12/'펌프동력 계산기'!$B$10+14.5/H22)))^(-2))</f>
        <v>7.1048650179572391E-3</v>
      </c>
      <c r="J22" s="22">
        <f>2*I22*G22^2*'펌프동력 계산기'!$B$26/'펌프동력 계산기'!$B$10</f>
        <v>7.7351999593797571E-2</v>
      </c>
      <c r="K22" s="22">
        <f>'펌프동력 계산기'!$D$27*(A22*'펌프동력 계산기'!$B$17)/'펌프동력 계산기'!$B$18</f>
        <v>0.11758711017422038</v>
      </c>
      <c r="L22" s="10">
        <f>'펌프동력 계산기'!$B$6*K22*'펌프동력 계산기'!$B$10/'펌프동력 계산기'!$B$7</f>
        <v>6988.9074803149624</v>
      </c>
      <c r="M22" s="23">
        <f>IF(L22&lt;2100,16/L22,(-1.737*LN(0.269*'펌프동력 계산기'!$B$12/'펌프동력 계산기'!$B$10-(2.185/L22)*LN(0.269*'펌프동력 계산기'!$B$12/'펌프동력 계산기'!$B$10+14.5/L22)))^(-2))</f>
        <v>8.4956663175407374E-3</v>
      </c>
      <c r="N22" s="22">
        <f>2*M22*K22^2*'펌프동력 계산기'!$B$27/'펌프동력 계산기'!$B$10</f>
        <v>9.711861023068577E-3</v>
      </c>
      <c r="O22" s="10">
        <f>'펌프동력 계산기'!$B$6*A22*'펌프동력 계산기'!$B$11/'펌프동력 계산기'!$B$7</f>
        <v>20884.500000000004</v>
      </c>
      <c r="P22" s="23">
        <f>IF(O22&lt;2100,16/O22,(-1.737*LN(0.269*'펌프동력 계산기'!$B$12/'펌프동력 계산기'!$B$11-(2.185/O22)*LN(0.269*'펌프동력 계산기'!$B$12/'펌프동력 계산기'!$B$11+14.5/O22)))^(-2))</f>
        <v>6.4744770007336338E-3</v>
      </c>
      <c r="Q22" s="22">
        <f>2*P22*A22^2*'펌프동력 계산기'!$B$28/'펌프동력 계산기'!$B$11</f>
        <v>5.7104887146470649</v>
      </c>
      <c r="R22" s="22">
        <f>'펌프동력 계산기'!$B$13*A22^2/2</f>
        <v>0.27562500000000001</v>
      </c>
      <c r="S22" s="22">
        <f t="shared" si="0"/>
        <v>0.55125000000000002</v>
      </c>
      <c r="T22" s="22">
        <f>'펌프동력 계산기'!$B$8*'펌프동력 계산기'!$B$14</f>
        <v>10.791000000000002</v>
      </c>
      <c r="U22" s="22">
        <f>F22+J22+'펌프동력 계산기'!$H$27+'펌프동력 계산기'!$H$28+'펌프동력 계산기'!$B$32+S22+T22</f>
        <v>116.42769060159812</v>
      </c>
      <c r="V22" s="11">
        <f>'펌프동력 계산기'!$B$6*('펌프동력 계산기'!$D$25*(A22*'펌프동력 계산기'!$B$17))*U22/'펌프동력 계산기'!$B$9</f>
        <v>194.79168682059267</v>
      </c>
    </row>
    <row r="23" spans="1:22">
      <c r="A23" s="9">
        <v>1.1000000000000001</v>
      </c>
      <c r="B23" s="22">
        <f>'펌프동력 계산기'!$D$25*(A23*'펌프동력 계산기'!$B$17)*1000</f>
        <v>0.99871230457619553</v>
      </c>
      <c r="C23" s="22">
        <f>'펌프동력 계산기'!$D$25*(A23*'펌프동력 계산기'!$B$17)/'펌프동력 계산기'!$B$18</f>
        <v>0.49274598549197118</v>
      </c>
      <c r="D23" s="10">
        <f>'펌프동력 계산기'!$B$6*C23*'펌프동력 계산기'!$B$10/'펌프동력 계산기'!$B$7</f>
        <v>29286.850393700799</v>
      </c>
      <c r="E23" s="23">
        <f>IF(D23&lt;2100,16/D23,(-1.737*LN(0.269*'펌프동력 계산기'!$B$12/'펌프동력 계산기'!$B$10-(2.185/D23)*LN(0.269*'펌프동력 계산기'!$B$12/'펌프동력 계산기'!$B$10+14.5/D23)))^(-2))</f>
        <v>5.9525451740049711E-3</v>
      </c>
      <c r="F23" s="22">
        <f>2*E23*C23^2*'펌프동력 계산기'!$B$25/'펌프동력 계산기'!$B$10</f>
        <v>1.1380076155124339</v>
      </c>
      <c r="G23" s="22">
        <f>'펌프동력 계산기'!$D$26*(A23*'펌프동력 계산기'!$B$17)/'펌프동력 계산기'!$B$18</f>
        <v>0.24637299274598559</v>
      </c>
      <c r="H23" s="10">
        <f>'펌프동력 계산기'!$B$6*G23*'펌프동력 계산기'!$B$10/'펌프동력 계산기'!$B$7</f>
        <v>14643.4251968504</v>
      </c>
      <c r="I23" s="23">
        <f>IF(H23&lt;2100,16/H23,(-1.737*LN(0.269*'펌프동력 계산기'!$B$12/'펌프동력 계산기'!$B$10-(2.185/H23)*LN(0.269*'펌프동력 계산기'!$B$12/'펌프동력 계산기'!$B$10+14.5/H23)))^(-2))</f>
        <v>7.0233549841030168E-3</v>
      </c>
      <c r="J23" s="22">
        <f>2*I23*G23^2*'펌프동력 계산기'!$B$26/'펌프동력 계산기'!$B$10</f>
        <v>8.3920315015632088E-2</v>
      </c>
      <c r="K23" s="22">
        <f>'펌프동력 계산기'!$D$27*(A23*'펌프동력 계산기'!$B$17)/'펌프동력 계산기'!$B$18</f>
        <v>0.1231864963729928</v>
      </c>
      <c r="L23" s="10">
        <f>'펌프동력 계산기'!$B$6*K23*'펌프동력 계산기'!$B$10/'펌프동력 계산기'!$B$7</f>
        <v>7321.7125984251998</v>
      </c>
      <c r="M23" s="23">
        <f>IF(L23&lt;2100,16/L23,(-1.737*LN(0.269*'펌프동력 계산기'!$B$12/'펌프동력 계산기'!$B$10-(2.185/L23)*LN(0.269*'펌프동력 계산기'!$B$12/'펌프동력 계산기'!$B$10+14.5/L23)))^(-2))</f>
        <v>8.3908792990212734E-3</v>
      </c>
      <c r="N23" s="22">
        <f>2*M23*K23^2*'펌프동력 계산기'!$B$27/'펌프동력 계산기'!$B$10</f>
        <v>1.0527354767161046E-2</v>
      </c>
      <c r="O23" s="10">
        <f>'펌프동력 계산기'!$B$6*A23*'펌프동력 계산기'!$B$11/'펌프동력 계산기'!$B$7</f>
        <v>21879.000000000004</v>
      </c>
      <c r="P23" s="23">
        <f>IF(O23&lt;2100,16/O23,(-1.737*LN(0.269*'펌프동력 계산기'!$B$12/'펌프동력 계산기'!$B$11-(2.185/O23)*LN(0.269*'펌프동력 계산기'!$B$12/'펌프동력 계산기'!$B$11+14.5/O23)))^(-2))</f>
        <v>6.4043235637841383E-3</v>
      </c>
      <c r="Q23" s="22">
        <f>2*P23*A23^2*'펌프동력 계산기'!$B$28/'펌프동력 계산기'!$B$11</f>
        <v>6.1993852097430464</v>
      </c>
      <c r="R23" s="22">
        <f>'펌프동력 계산기'!$B$13*A23^2/2</f>
        <v>0.30250000000000005</v>
      </c>
      <c r="S23" s="22">
        <f t="shared" si="0"/>
        <v>0.60500000000000009</v>
      </c>
      <c r="T23" s="22">
        <f>'펌프동력 계산기'!$B$8*'펌프동력 계산기'!$B$14</f>
        <v>10.791000000000002</v>
      </c>
      <c r="U23" s="22">
        <f>F23+J23+'펌프동력 계산기'!$H$27+'펌프동력 계산기'!$H$28+'펌프동력 계산기'!$B$32+S23+T23</f>
        <v>116.57792793052808</v>
      </c>
      <c r="V23" s="11">
        <f>'펌프동력 계산기'!$B$6*('펌프동력 계산기'!$D$25*(A23*'펌프동력 계산기'!$B$17))*U23/'펌프동력 계산기'!$B$9</f>
        <v>204.33080842120791</v>
      </c>
    </row>
    <row r="24" spans="1:22">
      <c r="A24" s="9">
        <v>1.1499999999999999</v>
      </c>
      <c r="B24" s="22">
        <f>'펌프동력 계산기'!$D$25*(A24*'펌프동력 계산기'!$B$17)*1000</f>
        <v>1.0441083184205679</v>
      </c>
      <c r="C24" s="22">
        <f>'펌프동력 계산기'!$D$25*(A24*'펌프동력 계산기'!$B$17)/'펌프동력 계산기'!$B$18</f>
        <v>0.51514353028706072</v>
      </c>
      <c r="D24" s="10">
        <f>'펌프동력 계산기'!$B$6*C24*'펌프동력 계산기'!$B$10/'펌프동력 계산기'!$B$7</f>
        <v>30618.070866141745</v>
      </c>
      <c r="E24" s="23">
        <f>IF(D24&lt;2100,16/D24,(-1.737*LN(0.269*'펌프동력 계산기'!$B$12/'펌프동력 계산기'!$B$10-(2.185/D24)*LN(0.269*'펌프동력 계산기'!$B$12/'펌프동력 계산기'!$B$10+14.5/D24)))^(-2))</f>
        <v>5.8921196998023657E-3</v>
      </c>
      <c r="F24" s="22">
        <f>2*E24*C24^2*'펌프동력 계산기'!$B$25/'펌프동력 계산기'!$B$10</f>
        <v>1.2311879034048603</v>
      </c>
      <c r="G24" s="22">
        <f>'펌프동력 계산기'!$D$26*(A24*'펌프동력 계산기'!$B$17)/'펌프동력 계산기'!$B$18</f>
        <v>0.25757176514353036</v>
      </c>
      <c r="H24" s="10">
        <f>'펌프동력 계산기'!$B$6*G24*'펌프동력 계산기'!$B$10/'펌프동력 계산기'!$B$7</f>
        <v>15309.035433070872</v>
      </c>
      <c r="I24" s="23">
        <f>IF(H24&lt;2100,16/H24,(-1.737*LN(0.269*'펌프동력 계산기'!$B$12/'펌프동력 계산기'!$B$10-(2.185/H24)*LN(0.269*'펌프동력 계산기'!$B$12/'펌프동력 계산기'!$B$10+14.5/H24)))^(-2))</f>
        <v>6.9467071206170935E-3</v>
      </c>
      <c r="J24" s="22">
        <f>2*I24*G24^2*'펌프동력 계산기'!$B$26/'펌프동력 계산기'!$B$10</f>
        <v>9.0721826472812586E-2</v>
      </c>
      <c r="K24" s="22">
        <f>'펌프동력 계산기'!$D$27*(A24*'펌프동력 계산기'!$B$17)/'펌프동력 계산기'!$B$18</f>
        <v>0.12878588257176518</v>
      </c>
      <c r="L24" s="10">
        <f>'펌프동력 계산기'!$B$6*K24*'펌프동력 계산기'!$B$10/'펌프동력 계산기'!$B$7</f>
        <v>7654.5177165354362</v>
      </c>
      <c r="M24" s="23">
        <f>IF(L24&lt;2100,16/L24,(-1.737*LN(0.269*'펌프동력 계산기'!$B$12/'펌프동력 계산기'!$B$10-(2.185/L24)*LN(0.269*'펌프동력 계산기'!$B$12/'펌프동력 계산기'!$B$10+14.5/L24)))^(-2))</f>
        <v>8.2924289618986052E-3</v>
      </c>
      <c r="N24" s="22">
        <f>2*M24*K24^2*'펌프동력 계산기'!$B$27/'펌프동력 계산기'!$B$10</f>
        <v>1.1371136031358911E-2</v>
      </c>
      <c r="O24" s="10">
        <f>'펌프동력 계산기'!$B$6*A24*'펌프동력 계산기'!$B$11/'펌프동력 계산기'!$B$7</f>
        <v>22873.500000000004</v>
      </c>
      <c r="P24" s="23">
        <f>IF(O24&lt;2100,16/O24,(-1.737*LN(0.269*'펌프동력 계산기'!$B$12/'펌프동력 계산기'!$B$11-(2.185/O24)*LN(0.269*'펌프동력 계산기'!$B$12/'펌프동력 계산기'!$B$11+14.5/O24)))^(-2))</f>
        <v>6.3383545380822108E-3</v>
      </c>
      <c r="Q24" s="22">
        <f>2*P24*A24^2*'펌프동력 계산기'!$B$28/'펌프동력 계산기'!$B$11</f>
        <v>6.7059791012909766</v>
      </c>
      <c r="R24" s="22">
        <f>'펌프동력 계산기'!$B$13*A24^2/2</f>
        <v>0.33062499999999995</v>
      </c>
      <c r="S24" s="22">
        <f t="shared" si="0"/>
        <v>0.66124999999999989</v>
      </c>
      <c r="T24" s="22">
        <f>'펌프동력 계산기'!$B$8*'펌프동력 계산기'!$B$14</f>
        <v>10.791000000000002</v>
      </c>
      <c r="U24" s="22">
        <f>F24+J24+'펌프동력 계산기'!$H$27+'펌프동력 계산기'!$H$28+'펌프동력 계산기'!$B$32+S24+T24</f>
        <v>116.73415972987766</v>
      </c>
      <c r="V24" s="11">
        <f>'펌프동력 계산기'!$B$6*('펌프동력 계산기'!$D$25*(A24*'펌프동력 계산기'!$B$17))*U24/'펌프동력 계산기'!$B$9</f>
        <v>213.90485316723996</v>
      </c>
    </row>
    <row r="25" spans="1:22">
      <c r="A25" s="9">
        <v>1.2</v>
      </c>
      <c r="B25" s="22">
        <f>'펌프동력 계산기'!$D$25*(A25*'펌프동력 계산기'!$B$17)*1000</f>
        <v>1.0895043322649405</v>
      </c>
      <c r="C25" s="22">
        <f>'펌프동력 계산기'!$D$25*(A25*'펌프동력 계산기'!$B$17)/'펌프동력 계산기'!$B$18</f>
        <v>0.53754107508215032</v>
      </c>
      <c r="D25" s="10">
        <f>'펌프동력 계산기'!$B$6*C25*'펌프동력 계산기'!$B$10/'펌프동력 계산기'!$B$7</f>
        <v>31949.291338582691</v>
      </c>
      <c r="E25" s="23">
        <f>IF(D25&lt;2100,16/D25,(-1.737*LN(0.269*'펌프동력 계산기'!$B$12/'펌프동력 계산기'!$B$10-(2.185/D25)*LN(0.269*'펌프동력 계산기'!$B$12/'펌프동력 계산기'!$B$10+14.5/D25)))^(-2))</f>
        <v>5.8351023161390169E-3</v>
      </c>
      <c r="F25" s="22">
        <f>2*E25*C25^2*'펌프동력 계산기'!$B$25/'펌프동력 계산기'!$B$10</f>
        <v>1.3276025129699356</v>
      </c>
      <c r="G25" s="22">
        <f>'펌프동력 계산기'!$D$26*(A25*'펌프동력 계산기'!$B$17)/'펌프동력 계산기'!$B$18</f>
        <v>0.26877053754107516</v>
      </c>
      <c r="H25" s="10">
        <f>'펌프동력 계산기'!$B$6*G25*'펌프동력 계산기'!$B$10/'펌프동력 계산기'!$B$7</f>
        <v>15974.645669291345</v>
      </c>
      <c r="I25" s="23">
        <f>IF(H25&lt;2100,16/H25,(-1.737*LN(0.269*'펌프동력 계산기'!$B$12/'펌프동력 계산기'!$B$10-(2.185/H25)*LN(0.269*'펌프동력 계산기'!$B$12/'펌프동력 계산기'!$B$10+14.5/H25)))^(-2))</f>
        <v>6.874434512052361E-3</v>
      </c>
      <c r="J25" s="22">
        <f>2*I25*G25^2*'펌프동력 계산기'!$B$26/'펌프동력 계산기'!$B$10</f>
        <v>9.7754461265029929E-2</v>
      </c>
      <c r="K25" s="22">
        <f>'펌프동력 계산기'!$D$27*(A25*'펌프동력 계산기'!$B$17)/'펌프동력 계산기'!$B$18</f>
        <v>0.13438526877053758</v>
      </c>
      <c r="L25" s="10">
        <f>'펌프동력 계산기'!$B$6*K25*'펌프동력 계산기'!$B$10/'펌프동력 계산기'!$B$7</f>
        <v>7987.3228346456726</v>
      </c>
      <c r="M25" s="23">
        <f>IF(L25&lt;2100,16/L25,(-1.737*LN(0.269*'펌프동력 계산기'!$B$12/'펌프동력 계산기'!$B$10-(2.185/L25)*LN(0.269*'펌프동력 계산기'!$B$12/'펌프동력 계산기'!$B$10+14.5/L25)))^(-2))</f>
        <v>8.1996755111427583E-3</v>
      </c>
      <c r="N25" s="22">
        <f>2*M25*K25^2*'펌프동력 계산기'!$B$27/'펌프동력 계산기'!$B$10</f>
        <v>1.2242935819248076E-2</v>
      </c>
      <c r="O25" s="10">
        <f>'펌프동력 계산기'!$B$6*A25*'펌프동력 계산기'!$B$11/'펌프동력 계산기'!$B$7</f>
        <v>23868.000000000004</v>
      </c>
      <c r="P25" s="23">
        <f>IF(O25&lt;2100,16/O25,(-1.737*LN(0.269*'펌프동력 계산기'!$B$12/'펌프동력 계산기'!$B$11-(2.185/O25)*LN(0.269*'펌프동력 계산기'!$B$12/'펌프동력 계산기'!$B$11+14.5/O25)))^(-2))</f>
        <v>6.2761523405896547E-3</v>
      </c>
      <c r="Q25" s="22">
        <f>2*P25*A25^2*'펌프동력 계산기'!$B$28/'펌프동력 계산기'!$B$11</f>
        <v>7.2301274963592812</v>
      </c>
      <c r="R25" s="22">
        <f>'펌프동력 계산기'!$B$13*A25^2/2</f>
        <v>0.36</v>
      </c>
      <c r="S25" s="22">
        <f t="shared" si="0"/>
        <v>0.72</v>
      </c>
      <c r="T25" s="22">
        <f>'펌프동력 계산기'!$B$8*'펌프동력 계산기'!$B$14</f>
        <v>10.791000000000002</v>
      </c>
      <c r="U25" s="22">
        <f>F25+J25+'펌프동력 계산기'!$H$27+'펌프동력 계산기'!$H$28+'펌프동력 계산기'!$B$32+S25+T25</f>
        <v>116.89635697423498</v>
      </c>
      <c r="V25" s="11">
        <f>'펌프동력 계산기'!$B$6*('펌프동력 계산기'!$D$25*(A25*'펌프동력 계산기'!$B$17))*U25/'펌프동력 계산기'!$B$9</f>
        <v>223.51519829822854</v>
      </c>
    </row>
    <row r="26" spans="1:22">
      <c r="A26" s="9">
        <v>1.25</v>
      </c>
      <c r="B26" s="22">
        <f>'펌프동력 계산기'!$D$25*(A26*'펌프동력 계산기'!$B$17)*1000</f>
        <v>1.134900346109313</v>
      </c>
      <c r="C26" s="22">
        <f>'펌프동력 계산기'!$D$25*(A26*'펌프동력 계산기'!$B$17)/'펌프동력 계산기'!$B$18</f>
        <v>0.55993861987723992</v>
      </c>
      <c r="D26" s="10">
        <f>'펌프동력 계산기'!$B$6*C26*'펌프동력 계산기'!$B$10/'펌프동력 계산기'!$B$7</f>
        <v>33280.511811023636</v>
      </c>
      <c r="E26" s="23">
        <f>IF(D26&lt;2100,16/D26,(-1.737*LN(0.269*'펌프동력 계산기'!$B$12/'펌프동력 계산기'!$B$10-(2.185/D26)*LN(0.269*'펌프동력 계산기'!$B$12/'펌프동력 계산기'!$B$10+14.5/D26)))^(-2))</f>
        <v>5.7811683494318512E-3</v>
      </c>
      <c r="F26" s="22">
        <f>2*E26*C26^2*'펌프동력 계산기'!$B$25/'펌프동력 계산기'!$B$10</f>
        <v>1.4272259728194883</v>
      </c>
      <c r="G26" s="22">
        <f>'펌프동력 계산기'!$D$26*(A26*'펌프동력 계산기'!$B$17)/'펌프동력 계산기'!$B$18</f>
        <v>0.27996930993861996</v>
      </c>
      <c r="H26" s="10">
        <f>'펌프동력 계산기'!$B$6*G26*'펌프동력 계산기'!$B$10/'펌프동력 계산기'!$B$7</f>
        <v>16640.255905511818</v>
      </c>
      <c r="I26" s="23">
        <f>IF(H26&lt;2100,16/H26,(-1.737*LN(0.269*'펌프동력 계산기'!$B$12/'펌프동력 계산기'!$B$10-(2.185/H26)*LN(0.269*'펌프동력 계산기'!$B$12/'펌프동력 계산기'!$B$10+14.5/H26)))^(-2))</f>
        <v>6.8061169830189953E-3</v>
      </c>
      <c r="J26" s="22">
        <f>2*I26*G26^2*'펌프동력 계산기'!$B$26/'펌프동력 계산기'!$B$10</f>
        <v>0.10501626082605738</v>
      </c>
      <c r="K26" s="22">
        <f>'펌프동력 계산기'!$D$27*(A26*'펌프동력 계산기'!$B$17)/'펌프동력 계산기'!$B$18</f>
        <v>0.13998465496930998</v>
      </c>
      <c r="L26" s="10">
        <f>'펌프동력 계산기'!$B$6*K26*'펌프동력 계산기'!$B$10/'펌프동력 계산기'!$B$7</f>
        <v>8320.1279527559091</v>
      </c>
      <c r="M26" s="23">
        <f>IF(L26&lt;2100,16/L26,(-1.737*LN(0.269*'펌프동력 계산기'!$B$12/'펌프동력 계산기'!$B$10-(2.185/L26)*LN(0.269*'펌프동력 계산기'!$B$12/'펌프동력 계산기'!$B$10+14.5/L26)))^(-2))</f>
        <v>8.1120673349838312E-3</v>
      </c>
      <c r="N26" s="22">
        <f>2*M26*K26^2*'펌프동력 계산기'!$B$27/'펌프동력 계산기'!$B$10</f>
        <v>1.3142500052164703E-2</v>
      </c>
      <c r="O26" s="10">
        <f>'펌프동력 계산기'!$B$6*A26*'펌프동력 계산기'!$B$11/'펌프동력 계산기'!$B$7</f>
        <v>24862.500000000004</v>
      </c>
      <c r="P26" s="23">
        <f>IF(O26&lt;2100,16/O26,(-1.737*LN(0.269*'펌프동력 계산기'!$B$12/'펌프동력 계산기'!$B$11-(2.185/O26)*LN(0.269*'펌프동력 계산기'!$B$12/'펌프동력 계산기'!$B$11+14.5/O26)))^(-2))</f>
        <v>6.21735646484363E-3</v>
      </c>
      <c r="Q26" s="22">
        <f>2*P26*A26^2*'펌프동력 계산기'!$B$28/'펌프동력 계산기'!$B$11</f>
        <v>7.7716955810545354</v>
      </c>
      <c r="R26" s="22">
        <f>'펌프동력 계산기'!$B$13*A26^2/2</f>
        <v>0.390625</v>
      </c>
      <c r="S26" s="22">
        <f t="shared" si="0"/>
        <v>0.78125</v>
      </c>
      <c r="T26" s="22">
        <f>'펌프동력 계산기'!$B$8*'펌프동력 계산기'!$B$14</f>
        <v>10.791000000000002</v>
      </c>
      <c r="U26" s="22">
        <f>F26+J26+'펌프동력 계산기'!$H$27+'펌프동력 계산기'!$H$28+'펌프동력 계산기'!$B$32+S26+T26</f>
        <v>117.06449223364555</v>
      </c>
      <c r="V26" s="11">
        <f>'펌프동력 계산기'!$B$6*('펌프동력 계산기'!$D$25*(A26*'펌프동력 계산기'!$B$17))*U26/'펌프동력 계산기'!$B$9</f>
        <v>233.16321498164717</v>
      </c>
    </row>
    <row r="27" spans="1:22">
      <c r="A27" s="9">
        <v>1.3</v>
      </c>
      <c r="B27" s="22">
        <f>'펌프동력 계산기'!$D$25*(A27*'펌프동력 계산기'!$B$17)*1000</f>
        <v>1.1802963599536855</v>
      </c>
      <c r="C27" s="22">
        <f>'펌프동력 계산기'!$D$25*(A27*'펌프동력 계산기'!$B$17)/'펌프동력 계산기'!$B$18</f>
        <v>0.58233616467232951</v>
      </c>
      <c r="D27" s="10">
        <f>'펌프동력 계산기'!$B$6*C27*'펌프동력 계산기'!$B$10/'펌프동력 계산기'!$B$7</f>
        <v>34611.732283464575</v>
      </c>
      <c r="E27" s="23">
        <f>IF(D27&lt;2100,16/D27,(-1.737*LN(0.269*'펌프동력 계산기'!$B$12/'펌프동력 계산기'!$B$10-(2.185/D27)*LN(0.269*'펌프동력 계산기'!$B$12/'펌프동력 계산기'!$B$10+14.5/D27)))^(-2))</f>
        <v>5.7300356361132962E-3</v>
      </c>
      <c r="F27" s="22">
        <f>2*E27*C27^2*'펌프동력 계산기'!$B$25/'펌프동력 계산기'!$B$10</f>
        <v>1.5300341547415512</v>
      </c>
      <c r="G27" s="22">
        <f>'펌프동력 계산기'!$D$26*(A27*'펌프동력 계산기'!$B$17)/'펌프동력 계산기'!$B$18</f>
        <v>0.29116808233616476</v>
      </c>
      <c r="H27" s="10">
        <f>'펌프동력 계산기'!$B$6*G27*'펌프동력 계산기'!$B$10/'펌프동력 계산기'!$B$7</f>
        <v>17305.866141732287</v>
      </c>
      <c r="I27" s="23">
        <f>IF(H27&lt;2100,16/H27,(-1.737*LN(0.269*'펌프동력 계산기'!$B$12/'펌프동력 계산기'!$B$10-(2.185/H27)*LN(0.269*'펌프동력 계산기'!$B$12/'펌프동력 계산기'!$B$10+14.5/H27)))^(-2))</f>
        <v>6.7413896872977868E-3</v>
      </c>
      <c r="J27" s="22">
        <f>2*I27*G27^2*'펌프동력 계산기'!$B$26/'펌프동력 계산기'!$B$10</f>
        <v>0.11250537002533026</v>
      </c>
      <c r="K27" s="22">
        <f>'펌프동력 계산기'!$D$27*(A27*'펌프동력 계산기'!$B$17)/'펌프동력 계산기'!$B$18</f>
        <v>0.14558404116808238</v>
      </c>
      <c r="L27" s="10">
        <f>'펌프동력 계산기'!$B$6*K27*'펌프동력 계산기'!$B$10/'펌프동력 계산기'!$B$7</f>
        <v>8652.9330708661437</v>
      </c>
      <c r="M27" s="23">
        <f>IF(L27&lt;2100,16/L27,(-1.737*LN(0.269*'펌프동력 계산기'!$B$12/'펌프동력 계산기'!$B$10-(2.185/L27)*LN(0.269*'펌프동력 계산기'!$B$12/'펌프동력 계산기'!$B$10+14.5/L27)))^(-2))</f>
        <v>8.0291258663095916E-3</v>
      </c>
      <c r="N27" s="22">
        <f>2*M27*K27^2*'펌프동력 계산기'!$B$27/'펌프동력 계산기'!$B$10</f>
        <v>1.4069588161988552E-2</v>
      </c>
      <c r="O27" s="10">
        <f>'펌프동력 계산기'!$B$6*A27*'펌프동력 계산기'!$B$11/'펌프동력 계산기'!$B$7</f>
        <v>25857.000000000004</v>
      </c>
      <c r="P27" s="23">
        <f>IF(O27&lt;2100,16/O27,(-1.737*LN(0.269*'펌프동력 계산기'!$B$12/'펌프동력 계산기'!$B$11-(2.185/O27)*LN(0.269*'펌프동력 계산기'!$B$12/'펌프동력 계산기'!$B$11+14.5/O27)))^(-2))</f>
        <v>6.1616537439625986E-3</v>
      </c>
      <c r="Q27" s="22">
        <f>2*P27*A27^2*'펌프동력 계산기'!$B$28/'펌프동력 계산기'!$B$11</f>
        <v>8.3305558618374338</v>
      </c>
      <c r="R27" s="22">
        <f>'펌프동력 계산기'!$B$13*A27^2/2</f>
        <v>0.42250000000000004</v>
      </c>
      <c r="S27" s="22">
        <f t="shared" si="0"/>
        <v>0.84500000000000008</v>
      </c>
      <c r="T27" s="22">
        <f>'펌프동력 계산기'!$B$8*'펌프동력 계산기'!$B$14</f>
        <v>10.791000000000002</v>
      </c>
      <c r="U27" s="22">
        <f>F27+J27+'펌프동력 계산기'!$H$27+'펌프동력 계산기'!$H$28+'펌프동력 계산기'!$B$32+S27+T27</f>
        <v>117.23853952476688</v>
      </c>
      <c r="V27" s="11">
        <f>'펌프동력 계산기'!$B$6*('펌프동력 계산기'!$D$25*(A27*'펌프동력 계산기'!$B$17))*U27/'펌프동력 계산기'!$B$9</f>
        <v>242.85026864013193</v>
      </c>
    </row>
    <row r="28" spans="1:22">
      <c r="A28" s="9">
        <v>1.35</v>
      </c>
      <c r="B28" s="22">
        <f>'펌프동력 계산기'!$D$25*(A28*'펌프동력 계산기'!$B$17)*1000</f>
        <v>1.2256923737980581</v>
      </c>
      <c r="C28" s="22">
        <f>'펌프동력 계산기'!$D$25*(A28*'펌프동력 계산기'!$B$17)/'펌프동력 계산기'!$B$18</f>
        <v>0.60473370946741911</v>
      </c>
      <c r="D28" s="10">
        <f>'펌프동력 계산기'!$B$6*C28*'펌프동력 계산기'!$B$10/'펌프동력 계산기'!$B$7</f>
        <v>35942.952755905528</v>
      </c>
      <c r="E28" s="23">
        <f>IF(D28&lt;2100,16/D28,(-1.737*LN(0.269*'펌프동력 계산기'!$B$12/'펌프동력 계산기'!$B$10-(2.185/D28)*LN(0.269*'펌프동력 계산기'!$B$12/'펌프동력 계산기'!$B$10+14.5/D28)))^(-2))</f>
        <v>5.681457559213344E-3</v>
      </c>
      <c r="F28" s="22">
        <f>2*E28*C28^2*'펌프동력 계산기'!$B$25/'펌프동력 계산기'!$B$10</f>
        <v>1.6360041533639156</v>
      </c>
      <c r="G28" s="22">
        <f>'펌프동력 계산기'!$D$26*(A28*'펌프동력 계산기'!$B$17)/'펌프동력 계산기'!$B$18</f>
        <v>0.30236685473370956</v>
      </c>
      <c r="H28" s="10">
        <f>'펌프동력 계산기'!$B$6*G28*'펌프동력 계산기'!$B$10/'펌프동력 계산기'!$B$7</f>
        <v>17971.476377952764</v>
      </c>
      <c r="I28" s="23">
        <f>IF(H28&lt;2100,16/H28,(-1.737*LN(0.269*'펌프동력 계산기'!$B$12/'펌프동력 계산기'!$B$10-(2.185/H28)*LN(0.269*'펌프동력 계산기'!$B$12/'펌프동력 계산기'!$B$10+14.5/H28)))^(-2))</f>
        <v>6.6799340049899826E-3</v>
      </c>
      <c r="J28" s="22">
        <f>2*I28*G28^2*'펌프동력 계산기'!$B$26/'펌프동력 계산기'!$B$10</f>
        <v>0.12022002785445446</v>
      </c>
      <c r="K28" s="22">
        <f>'펌프동력 계산기'!$D$27*(A28*'펌프동력 계산기'!$B$17)/'펌프동력 계산기'!$B$18</f>
        <v>0.15118342736685478</v>
      </c>
      <c r="L28" s="10">
        <f>'펌프동력 계산기'!$B$6*K28*'펌프동력 계산기'!$B$10/'펌프동력 계산기'!$B$7</f>
        <v>8985.7381889763819</v>
      </c>
      <c r="M28" s="23">
        <f>IF(L28&lt;2100,16/L28,(-1.737*LN(0.269*'펌프동력 계산기'!$B$12/'펌프동력 계산기'!$B$10-(2.185/L28)*LN(0.269*'펌프동력 계산기'!$B$12/'펌프동력 계산기'!$B$10+14.5/L28)))^(-2))</f>
        <v>7.9504335156532647E-3</v>
      </c>
      <c r="N28" s="22">
        <f>2*M28*K28^2*'펌프동력 계산기'!$B$27/'펌프동력 계산기'!$B$10</f>
        <v>1.5023971866974606E-2</v>
      </c>
      <c r="O28" s="10">
        <f>'펌프동력 계산기'!$B$6*A28*'펌프동력 계산기'!$B$11/'펌프동력 계산기'!$B$7</f>
        <v>26851.500000000004</v>
      </c>
      <c r="P28" s="23">
        <f>IF(O28&lt;2100,16/O28,(-1.737*LN(0.269*'펌프동력 계산기'!$B$12/'펌프동력 계산기'!$B$11-(2.185/O28)*LN(0.269*'펌프동력 계산기'!$B$12/'펌프동력 계산기'!$B$11+14.5/O28)))^(-2))</f>
        <v>6.1087705795631357E-3</v>
      </c>
      <c r="Q28" s="22">
        <f>2*P28*A28^2*'펌프동력 계산기'!$B$28/'펌프동력 계산기'!$B$11</f>
        <v>8.9065875050030527</v>
      </c>
      <c r="R28" s="22">
        <f>'펌프동력 계산기'!$B$13*A28^2/2</f>
        <v>0.45562500000000006</v>
      </c>
      <c r="S28" s="22">
        <f t="shared" si="0"/>
        <v>0.91125000000000012</v>
      </c>
      <c r="T28" s="22">
        <f>'펌프동력 계산기'!$B$8*'펌프동력 계산기'!$B$14</f>
        <v>10.791000000000002</v>
      </c>
      <c r="U28" s="22">
        <f>F28+J28+'펌프동력 계산기'!$H$27+'펌프동력 계산기'!$H$28+'펌프동력 계산기'!$B$32+S28+T28</f>
        <v>117.41847418121836</v>
      </c>
      <c r="V28" s="11">
        <f>'펌프동력 계산기'!$B$6*('펌프동력 계산기'!$D$25*(A28*'펌프동력 계산기'!$B$17))*U28/'펌프동력 계산기'!$B$9</f>
        <v>252.57771924885077</v>
      </c>
    </row>
    <row r="29" spans="1:22">
      <c r="A29" s="9">
        <v>1.4</v>
      </c>
      <c r="B29" s="22">
        <f>'펌프동력 계산기'!$D$25*(A29*'펌프동력 계산기'!$B$17)*1000</f>
        <v>1.2710883876424304</v>
      </c>
      <c r="C29" s="22">
        <f>'펌프동력 계산기'!$D$25*(A29*'펌프동력 계산기'!$B$17)/'펌프동력 계산기'!$B$18</f>
        <v>0.6271312542625086</v>
      </c>
      <c r="D29" s="10">
        <f>'펌프동력 계산기'!$B$6*C29*'펌프동력 계산기'!$B$10/'펌프동력 계산기'!$B$7</f>
        <v>37274.173228346459</v>
      </c>
      <c r="E29" s="23">
        <f>IF(D29&lt;2100,16/D29,(-1.737*LN(0.269*'펌프동력 계산기'!$B$12/'펌프동력 계산기'!$B$10-(2.185/D29)*LN(0.269*'펌프동력 계산기'!$B$12/'펌프동력 계산기'!$B$10+14.5/D29)))^(-2))</f>
        <v>5.6352174375159563E-3</v>
      </c>
      <c r="F29" s="22">
        <f>2*E29*C29^2*'펌프동력 계산기'!$B$25/'펌프동력 계산기'!$B$10</f>
        <v>1.745114180745057</v>
      </c>
      <c r="G29" s="22">
        <f>'펌프동력 계산기'!$D$26*(A29*'펌프동력 계산기'!$B$17)/'펌프동력 계산기'!$B$18</f>
        <v>0.3135656271312543</v>
      </c>
      <c r="H29" s="10">
        <f>'펌프동력 계산기'!$B$6*G29*'펌프동력 계산기'!$B$10/'펌프동력 계산기'!$B$7</f>
        <v>18637.086614173229</v>
      </c>
      <c r="I29" s="23">
        <f>IF(H29&lt;2100,16/H29,(-1.737*LN(0.269*'펌프동력 계산기'!$B$12/'펌프동력 계산기'!$B$10-(2.185/H29)*LN(0.269*'펌프동력 계산기'!$B$12/'펌프동력 계산기'!$B$10+14.5/H29)))^(-2))</f>
        <v>6.6214702139679744E-3</v>
      </c>
      <c r="J29" s="22">
        <f>2*I29*G29^2*'펌프동력 계산기'!$B$26/'펌프동력 계산기'!$B$10</f>
        <v>0.12815855927369219</v>
      </c>
      <c r="K29" s="22">
        <f>'펌프동력 계산기'!$D$27*(A29*'펌프동력 계산기'!$B$17)/'펌프동력 계산기'!$B$18</f>
        <v>0.15678281356562715</v>
      </c>
      <c r="L29" s="10">
        <f>'펌프동력 계산기'!$B$6*K29*'펌프동력 계산기'!$B$10/'펌프동력 계산기'!$B$7</f>
        <v>9318.5433070866147</v>
      </c>
      <c r="M29" s="23">
        <f>IF(L29&lt;2100,16/L29,(-1.737*LN(0.269*'펌프동력 계산기'!$B$12/'펌프동력 계산기'!$B$10-(2.185/L29)*LN(0.269*'펌프동력 계산기'!$B$12/'펌프동력 계산기'!$B$10+14.5/L29)))^(-2))</f>
        <v>7.8756239637127173E-3</v>
      </c>
      <c r="N29" s="22">
        <f>2*M29*K29^2*'펌프동력 계산기'!$B$27/'펌프동력 계산기'!$B$10</f>
        <v>1.6005434100778575E-2</v>
      </c>
      <c r="O29" s="10">
        <f>'펌프동력 계산기'!$B$6*A29*'펌프동력 계산기'!$B$11/'펌프동력 계산기'!$B$7</f>
        <v>27846</v>
      </c>
      <c r="P29" s="23">
        <f>IF(O29&lt;2100,16/O29,(-1.737*LN(0.269*'펌프동력 계산기'!$B$12/'펌프동력 계산기'!$B$11-(2.185/O29)*LN(0.269*'펌프동력 계산기'!$B$12/'펌프동력 계산기'!$B$11+14.5/O29)))^(-2))</f>
        <v>6.0584666826498093E-3</v>
      </c>
      <c r="Q29" s="22">
        <f>2*P29*A29^2*'펌프동력 계산기'!$B$28/'펌프동력 계산기'!$B$11</f>
        <v>9.4996757583948988</v>
      </c>
      <c r="R29" s="22">
        <f>'펌프동력 계산기'!$B$13*A29^2/2</f>
        <v>0.48999999999999994</v>
      </c>
      <c r="S29" s="22">
        <f t="shared" si="0"/>
        <v>0.97999999999999987</v>
      </c>
      <c r="T29" s="22">
        <f>'펌프동력 계산기'!$B$8*'펌프동력 계산기'!$B$14</f>
        <v>10.791000000000002</v>
      </c>
      <c r="U29" s="22">
        <f>F29+J29+'펌프동력 계산기'!$H$27+'펌프동력 계산기'!$H$28+'펌프동력 계산기'!$B$32+S29+T29</f>
        <v>117.60427274001874</v>
      </c>
      <c r="V29" s="11">
        <f>'펌프동력 계산기'!$B$6*('펌프동력 계산기'!$D$25*(A29*'펌프동력 계산기'!$B$17))*U29/'펌프동력 계산기'!$B$9</f>
        <v>262.34692160678418</v>
      </c>
    </row>
    <row r="30" spans="1:22">
      <c r="A30" s="9">
        <v>1.45</v>
      </c>
      <c r="B30" s="22">
        <f>'펌프동력 계산기'!$D$25*(A30*'펌프동력 계산기'!$B$17)*1000</f>
        <v>1.3164844014868029</v>
      </c>
      <c r="C30" s="22">
        <f>'펌프동력 계산기'!$D$25*(A30*'펌프동력 계산기'!$B$17)/'펌프동력 계산기'!$B$18</f>
        <v>0.64952879905759819</v>
      </c>
      <c r="D30" s="10">
        <f>'펌프동력 계산기'!$B$6*C30*'펌프동력 계산기'!$B$10/'펌프동력 계산기'!$B$7</f>
        <v>38605.393700787405</v>
      </c>
      <c r="E30" s="23">
        <f>IF(D30&lt;2100,16/D30,(-1.737*LN(0.269*'펌프동력 계산기'!$B$12/'펌프동력 계산기'!$B$10-(2.185/D30)*LN(0.269*'펌프동력 계산기'!$B$12/'펌프동력 계산기'!$B$10+14.5/D30)))^(-2))</f>
        <v>5.5911239663282491E-3</v>
      </c>
      <c r="F30" s="22">
        <f>2*E30*C30^2*'펌프동력 계산기'!$B$25/'펌프동력 계산기'!$B$10</f>
        <v>1.857343473563897</v>
      </c>
      <c r="G30" s="22">
        <f>'펌프동력 계산기'!$D$26*(A30*'펌프동력 계산기'!$B$17)/'펌프동력 계산기'!$B$18</f>
        <v>0.3247643995287991</v>
      </c>
      <c r="H30" s="10">
        <f>'펌프동력 계산기'!$B$6*G30*'펌프동력 계산기'!$B$10/'펌프동력 계산기'!$B$7</f>
        <v>19302.696850393702</v>
      </c>
      <c r="I30" s="23">
        <f>IF(H30&lt;2100,16/H30,(-1.737*LN(0.269*'펌프동력 계산기'!$B$12/'펌프동력 계산기'!$B$10-(2.185/H30)*LN(0.269*'펌프동력 계산기'!$B$12/'펌프동력 계산기'!$B$10+14.5/H30)))^(-2))</f>
        <v>6.5657515396936308E-3</v>
      </c>
      <c r="J30" s="22">
        <f>2*I30*G30^2*'펌프동력 계산기'!$B$26/'펌프동력 계산기'!$B$10</f>
        <v>0.13631936803688602</v>
      </c>
      <c r="K30" s="22">
        <f>'펌프동력 계산기'!$D$27*(A30*'펌프동력 계산기'!$B$17)/'펌프동력 계산기'!$B$18</f>
        <v>0.16238219976439955</v>
      </c>
      <c r="L30" s="10">
        <f>'펌프동력 계산기'!$B$6*K30*'펌프동력 계산기'!$B$10/'펌프동력 계산기'!$B$7</f>
        <v>9651.3484251968512</v>
      </c>
      <c r="M30" s="23">
        <f>IF(L30&lt;2100,16/L30,(-1.737*LN(0.269*'펌프동력 계산기'!$B$12/'펌프동력 계산기'!$B$10-(2.185/L30)*LN(0.269*'펌프동력 계산기'!$B$12/'펌프동력 계산기'!$B$10+14.5/L30)))^(-2))</f>
        <v>7.8043742855499407E-3</v>
      </c>
      <c r="N30" s="22">
        <f>2*M30*K30^2*'펌프동력 계산기'!$B$27/'펌프동력 계산기'!$B$10</f>
        <v>1.7013768070609805E-2</v>
      </c>
      <c r="O30" s="10">
        <f>'펌프동력 계산기'!$B$6*A30*'펌프동력 계산기'!$B$11/'펌프동력 계산기'!$B$7</f>
        <v>28840.500000000004</v>
      </c>
      <c r="P30" s="23">
        <f>IF(O30&lt;2100,16/O30,(-1.737*LN(0.269*'펌프동력 계산기'!$B$12/'펌프동력 계산기'!$B$11-(2.185/O30)*LN(0.269*'펌프동력 계산기'!$B$12/'펌프동력 계산기'!$B$11+14.5/O30)))^(-2))</f>
        <v>6.0105299895919151E-3</v>
      </c>
      <c r="Q30" s="22">
        <f>2*P30*A30^2*'펌프동력 계산기'!$B$28/'펌프동력 계산기'!$B$11</f>
        <v>10.109711442493602</v>
      </c>
      <c r="R30" s="22">
        <f>'펌프동력 계산기'!$B$13*A30^2/2</f>
        <v>0.52562500000000001</v>
      </c>
      <c r="S30" s="22">
        <f t="shared" si="0"/>
        <v>1.05125</v>
      </c>
      <c r="T30" s="22">
        <f>'펌프동력 계산기'!$B$8*'펌프동력 계산기'!$B$14</f>
        <v>10.791000000000002</v>
      </c>
      <c r="U30" s="22">
        <f>F30+J30+'펌프동력 계산기'!$H$27+'펌프동력 계산기'!$H$28+'펌프동력 계산기'!$B$32+S30+T30</f>
        <v>117.79591284160078</v>
      </c>
      <c r="V30" s="11">
        <f>'펌프동력 계산기'!$B$6*('펌프동력 계산기'!$D$25*(A30*'펌프동력 계산기'!$B$17))*U30/'펌프동력 계산기'!$B$9</f>
        <v>272.15922558509055</v>
      </c>
    </row>
    <row r="31" spans="1:22">
      <c r="A31" s="9">
        <v>1.5</v>
      </c>
      <c r="B31" s="22">
        <f>'펌프동력 계산기'!$D$25*(A31*'펌프동력 계산기'!$B$17)*1000</f>
        <v>1.3618804153311754</v>
      </c>
      <c r="C31" s="22">
        <f>'펌프동력 계산기'!$D$25*(A31*'펌프동력 계산기'!$B$17)/'펌프동력 계산기'!$B$18</f>
        <v>0.67192634385268779</v>
      </c>
      <c r="D31" s="10">
        <f>'펌프동력 계산기'!$B$6*C31*'펌프동력 계산기'!$B$10/'펌프동력 계산기'!$B$7</f>
        <v>39936.614173228358</v>
      </c>
      <c r="E31" s="23">
        <f>IF(D31&lt;2100,16/D31,(-1.737*LN(0.269*'펌프동력 계산기'!$B$12/'펌프동력 계산기'!$B$10-(2.185/D31)*LN(0.269*'펌프동력 계산기'!$B$12/'펌프동력 계산기'!$B$10+14.5/D31)))^(-2))</f>
        <v>5.5490074837946405E-3</v>
      </c>
      <c r="F31" s="22">
        <f>2*E31*C31^2*'펌프동력 계산기'!$B$25/'펌프동력 계산기'!$B$10</f>
        <v>1.972672211012229</v>
      </c>
      <c r="G31" s="22">
        <f>'펌프동력 계산기'!$D$26*(A31*'펌프동력 계산기'!$B$17)/'펌프동력 계산기'!$B$18</f>
        <v>0.3359631719263439</v>
      </c>
      <c r="H31" s="10">
        <f>'펌프동력 계산기'!$B$6*G31*'펌프동력 계산기'!$B$10/'펌프동력 계산기'!$B$7</f>
        <v>19968.307086614179</v>
      </c>
      <c r="I31" s="23">
        <f>IF(H31&lt;2100,16/H31,(-1.737*LN(0.269*'펌프동력 계산기'!$B$12/'펌프동력 계산기'!$B$10-(2.185/H31)*LN(0.269*'펌프동력 계산기'!$B$12/'펌프동력 계산기'!$B$10+14.5/H31)))^(-2))</f>
        <v>6.5125592862364098E-3</v>
      </c>
      <c r="J31" s="22">
        <f>2*I31*G31^2*'펌프동력 계산기'!$B$26/'펌프동력 계산기'!$B$10</f>
        <v>0.14470093034708337</v>
      </c>
      <c r="K31" s="22">
        <f>'펌프동력 계산기'!$D$27*(A31*'펌프동력 계산기'!$B$17)/'펌프동력 계산기'!$B$18</f>
        <v>0.16798158596317195</v>
      </c>
      <c r="L31" s="10">
        <f>'펌프동력 계산기'!$B$6*K31*'펌프동력 계산기'!$B$10/'펌프동력 계산기'!$B$7</f>
        <v>9984.1535433070894</v>
      </c>
      <c r="M31" s="23">
        <f>IF(L31&lt;2100,16/L31,(-1.737*LN(0.269*'펌프동력 계산기'!$B$12/'펌프동력 계산기'!$B$10-(2.185/L31)*LN(0.269*'펌프동력 계산기'!$B$12/'펌프동력 계산기'!$B$10+14.5/L31)))^(-2))</f>
        <v>7.7363985105599227E-3</v>
      </c>
      <c r="N31" s="22">
        <f>2*M31*K31^2*'펌프동력 계산기'!$B$27/'펌프동력 계산기'!$B$10</f>
        <v>1.8048776424940363E-2</v>
      </c>
      <c r="O31" s="10">
        <f>'펌프동력 계산기'!$B$6*A31*'펌프동력 계산기'!$B$11/'펌프동력 계산기'!$B$7</f>
        <v>29835.000000000004</v>
      </c>
      <c r="P31" s="23">
        <f>IF(O31&lt;2100,16/O31,(-1.737*LN(0.269*'펌프동력 계산기'!$B$12/'펌프동력 계산기'!$B$11-(2.185/O31)*LN(0.269*'펌프동력 계산기'!$B$12/'펌프동력 계산기'!$B$11+14.5/O31)))^(-2))</f>
        <v>5.9647725002295419E-3</v>
      </c>
      <c r="Q31" s="22">
        <f>2*P31*A31^2*'펌프동력 계산기'!$B$28/'펌프동력 계산기'!$B$11</f>
        <v>10.736590500413175</v>
      </c>
      <c r="R31" s="22">
        <f>'펌프동력 계산기'!$B$13*A31^2/2</f>
        <v>0.5625</v>
      </c>
      <c r="S31" s="22">
        <f t="shared" si="0"/>
        <v>1.125</v>
      </c>
      <c r="T31" s="22">
        <f>'펌프동력 계산기'!$B$8*'펌프동력 계산기'!$B$14</f>
        <v>10.791000000000002</v>
      </c>
      <c r="U31" s="22">
        <f>F31+J31+'펌프동력 계산기'!$H$27+'펌프동력 계산기'!$H$28+'펌프동력 계산기'!$B$32+S31+T31</f>
        <v>117.99337314135931</v>
      </c>
      <c r="V31" s="11">
        <f>'펌프동력 계산기'!$B$6*('펌프동력 계산기'!$D$25*(A31*'펌프동력 계산기'!$B$17))*U31/'펌프동력 계산기'!$B$9</f>
        <v>282.01597635524178</v>
      </c>
    </row>
    <row r="32" spans="1:22">
      <c r="A32" s="9">
        <v>1.55</v>
      </c>
      <c r="B32" s="22">
        <f>'펌프동력 계산기'!$D$25*(A32*'펌프동력 계산기'!$B$17)*1000</f>
        <v>1.407276429175548</v>
      </c>
      <c r="C32" s="22">
        <f>'펌프동력 계산기'!$D$25*(A32*'펌프동력 계산기'!$B$17)/'펌프동력 계산기'!$B$18</f>
        <v>0.6943238886477775</v>
      </c>
      <c r="D32" s="10">
        <f>'펌프동력 계산기'!$B$6*C32*'펌프동력 계산기'!$B$10/'펌프동력 계산기'!$B$7</f>
        <v>41267.834645669311</v>
      </c>
      <c r="E32" s="23">
        <f>IF(D32&lt;2100,16/D32,(-1.737*LN(0.269*'펌프동력 계산기'!$B$12/'펌프동력 계산기'!$B$10-(2.185/D32)*LN(0.269*'펌프동력 계산기'!$B$12/'펌프동력 계산기'!$B$10+14.5/D32)))^(-2))</f>
        <v>5.5087168911020423E-3</v>
      </c>
      <c r="F32" s="22">
        <f>2*E32*C32^2*'펌프동력 계산기'!$B$25/'펌프동력 계산기'!$B$10</f>
        <v>2.0910814418337611</v>
      </c>
      <c r="G32" s="22">
        <f>'펌프동력 계산기'!$D$26*(A32*'펌프동력 계산기'!$B$17)/'펌프동력 계산기'!$B$18</f>
        <v>0.34716194432388875</v>
      </c>
      <c r="H32" s="10">
        <f>'펌프동력 계산기'!$B$6*G32*'펌프동력 계산기'!$B$10/'펌프동력 계산기'!$B$7</f>
        <v>20633.917322834655</v>
      </c>
      <c r="I32" s="23">
        <f>IF(H32&lt;2100,16/H32,(-1.737*LN(0.269*'펌프동력 계산기'!$B$12/'펌프동력 계산기'!$B$10-(2.185/H32)*LN(0.269*'펌프동력 계산기'!$B$12/'펌프동력 계산기'!$B$10+14.5/H32)))^(-2))</f>
        <v>6.4616988230254127E-3</v>
      </c>
      <c r="J32" s="22">
        <f>2*I32*G32^2*'펌프동력 계산기'!$B$26/'펌프동력 계산기'!$B$10</f>
        <v>0.15330178922169543</v>
      </c>
      <c r="K32" s="22">
        <f>'펌프동력 계산기'!$D$27*(A32*'펌프동력 계산기'!$B$17)/'펌프동력 계산기'!$B$18</f>
        <v>0.17358097216194437</v>
      </c>
      <c r="L32" s="10">
        <f>'펌프동력 계산기'!$B$6*K32*'펌프동력 계산기'!$B$10/'펌프동력 계산기'!$B$7</f>
        <v>10316.958661417328</v>
      </c>
      <c r="M32" s="23">
        <f>IF(L32&lt;2100,16/L32,(-1.737*LN(0.269*'펌프동력 계산기'!$B$12/'펌프동력 계산기'!$B$10-(2.185/L32)*LN(0.269*'펌프동력 계산기'!$B$12/'펌프동력 계산기'!$B$10+14.5/L32)))^(-2))</f>
        <v>7.6714423180238907E-3</v>
      </c>
      <c r="N32" s="22">
        <f>2*M32*K32^2*'펌프동력 계산기'!$B$27/'펌프동력 계산기'!$B$10</f>
        <v>1.9110270514730261E-2</v>
      </c>
      <c r="O32" s="10">
        <f>'펌프동력 계산기'!$B$6*A32*'펌프동력 계산기'!$B$11/'펌프동력 계산기'!$B$7</f>
        <v>30829.500000000011</v>
      </c>
      <c r="P32" s="23">
        <f>IF(O32&lt;2100,16/O32,(-1.737*LN(0.269*'펌프동력 계산기'!$B$12/'펌프동력 계산기'!$B$11-(2.185/O32)*LN(0.269*'펌프동력 계산기'!$B$12/'펌프동력 계산기'!$B$11+14.5/O32)))^(-2))</f>
        <v>5.9210268461076564E-3</v>
      </c>
      <c r="Q32" s="22">
        <f>2*P32*A32^2*'펌프동력 계산기'!$B$28/'펌프동력 계산기'!$B$11</f>
        <v>11.380213598218916</v>
      </c>
      <c r="R32" s="22">
        <f>'펌프동력 계산기'!$B$13*A32^2/2</f>
        <v>0.60062500000000008</v>
      </c>
      <c r="S32" s="22">
        <f t="shared" si="0"/>
        <v>1.2012500000000002</v>
      </c>
      <c r="T32" s="22">
        <f>'펌프동력 계산기'!$B$8*'펌프동력 계산기'!$B$14</f>
        <v>10.791000000000002</v>
      </c>
      <c r="U32" s="22">
        <f>F32+J32+'펌프동력 계산기'!$H$27+'펌프동력 계산기'!$H$28+'펌프동력 계산기'!$B$32+S32+T32</f>
        <v>118.19663323105546</v>
      </c>
      <c r="V32" s="11">
        <f>'펌프동력 계산기'!$B$6*('펌프동력 계산기'!$D$25*(A32*'펌프동력 계산기'!$B$17))*U32/'펌프동력 계산기'!$B$9</f>
        <v>291.9185145992202</v>
      </c>
    </row>
    <row r="33" spans="1:22">
      <c r="A33" s="9">
        <v>1.6</v>
      </c>
      <c r="B33" s="22">
        <f>'펌프동력 계산기'!$D$25*(A33*'펌프동력 계산기'!$B$17)*1000</f>
        <v>1.4526724430199205</v>
      </c>
      <c r="C33" s="22">
        <f>'펌프동력 계산기'!$D$25*(A33*'펌프동력 계산기'!$B$17)/'펌프동력 계산기'!$B$18</f>
        <v>0.7167214334428671</v>
      </c>
      <c r="D33" s="10">
        <f>'펌프동력 계산기'!$B$6*C33*'펌프동력 계산기'!$B$10/'펌프동력 계산기'!$B$7</f>
        <v>42599.055118110249</v>
      </c>
      <c r="E33" s="23">
        <f>IF(D33&lt;2100,16/D33,(-1.737*LN(0.269*'펌프동력 계산기'!$B$12/'펌프동력 계산기'!$B$10-(2.185/D33)*LN(0.269*'펌프동력 계산기'!$B$12/'펌프동력 계산기'!$B$10+14.5/D33)))^(-2))</f>
        <v>5.4701170949285572E-3</v>
      </c>
      <c r="F33" s="22">
        <f>2*E33*C33^2*'펌프동력 계산기'!$B$25/'펌프동력 계산기'!$B$10</f>
        <v>2.2125530192236624</v>
      </c>
      <c r="G33" s="22">
        <f>'펌프동력 계산기'!$D$26*(A33*'펌프동력 계산기'!$B$17)/'펌프동력 계산기'!$B$18</f>
        <v>0.35836071672143355</v>
      </c>
      <c r="H33" s="10">
        <f>'펌프동력 계산기'!$B$6*G33*'펌프동력 계산기'!$B$10/'펌프동력 계산기'!$B$7</f>
        <v>21299.527559055125</v>
      </c>
      <c r="I33" s="23">
        <f>IF(H33&lt;2100,16/H33,(-1.737*LN(0.269*'펌프동력 계산기'!$B$12/'펌프동력 계산기'!$B$10-(2.185/H33)*LN(0.269*'펌프동력 계산기'!$B$12/'펌프동력 계산기'!$B$10+14.5/H33)))^(-2))</f>
        <v>6.4129962545466518E-3</v>
      </c>
      <c r="J33" s="22">
        <f>2*I33*G33^2*'펌프동력 계산기'!$B$26/'펌프동력 계산기'!$B$10</f>
        <v>0.16212054946710139</v>
      </c>
      <c r="K33" s="22">
        <f>'펌프동력 계산기'!$D$27*(A33*'펌프동력 계산기'!$B$17)/'펌프동력 계산기'!$B$18</f>
        <v>0.17918035836071677</v>
      </c>
      <c r="L33" s="10">
        <f>'펌프동력 계산기'!$B$6*K33*'펌프동력 계산기'!$B$10/'펌프동력 계산기'!$B$7</f>
        <v>10649.763779527562</v>
      </c>
      <c r="M33" s="23">
        <f>IF(L33&lt;2100,16/L33,(-1.737*LN(0.269*'펌프동력 계산기'!$B$12/'펌프동력 계산기'!$B$10-(2.185/L33)*LN(0.269*'펌프동력 계산기'!$B$12/'펌프동력 계산기'!$B$10+14.5/L33)))^(-2))</f>
        <v>7.6092786383450978E-3</v>
      </c>
      <c r="N33" s="22">
        <f>2*M33*K33^2*'펌프동력 계산기'!$B$27/'펌프동력 계산기'!$B$10</f>
        <v>2.0198069734927538E-2</v>
      </c>
      <c r="O33" s="10">
        <f>'펌프동력 계산기'!$B$6*A33*'펌프동력 계산기'!$B$11/'펌프동력 계산기'!$B$7</f>
        <v>31824.000000000011</v>
      </c>
      <c r="P33" s="23">
        <f>IF(O33&lt;2100,16/O33,(-1.737*LN(0.269*'펌프동력 계산기'!$B$12/'펌프동력 계산기'!$B$11-(2.185/O33)*LN(0.269*'펌프동력 계산기'!$B$12/'펌프동력 계산기'!$B$11+14.5/O33)))^(-2))</f>
        <v>5.8791434416372553E-3</v>
      </c>
      <c r="Q33" s="22">
        <f>2*P33*A33^2*'펌프동력 계산기'!$B$28/'펌프동력 계산기'!$B$11</f>
        <v>12.040485768473101</v>
      </c>
      <c r="R33" s="22">
        <f>'펌프동력 계산기'!$B$13*A33^2/2</f>
        <v>0.64000000000000012</v>
      </c>
      <c r="S33" s="22">
        <f t="shared" si="0"/>
        <v>1.2800000000000002</v>
      </c>
      <c r="T33" s="22">
        <f>'펌프동력 계산기'!$B$8*'펌프동력 계산기'!$B$14</f>
        <v>10.791000000000002</v>
      </c>
      <c r="U33" s="22">
        <f>F33+J33+'펌프동력 계산기'!$H$27+'펌프동력 계산기'!$H$28+'펌프동력 계산기'!$B$32+S33+T33</f>
        <v>118.40567356869076</v>
      </c>
      <c r="V33" s="11">
        <f>'펌프동력 계산기'!$B$6*('펌프동력 계산기'!$D$25*(A33*'펌프동력 계산기'!$B$17))*U33/'펌프동력 계산기'!$B$9</f>
        <v>301.86817670373836</v>
      </c>
    </row>
    <row r="34" spans="1:22">
      <c r="A34" s="9">
        <v>1.65</v>
      </c>
      <c r="B34" s="22">
        <f>'펌프동력 계산기'!$D$25*(A34*'펌프동력 계산기'!$B$17)*1000</f>
        <v>1.498068456864293</v>
      </c>
      <c r="C34" s="22">
        <f>'펌프동력 계산기'!$D$25*(A34*'펌프동력 계산기'!$B$17)/'펌프동력 계산기'!$B$18</f>
        <v>0.73911897823795669</v>
      </c>
      <c r="D34" s="10">
        <f>'펌프동력 계산기'!$B$6*C34*'펌프동력 계산기'!$B$10/'펌프동력 계산기'!$B$7</f>
        <v>43930.275590551195</v>
      </c>
      <c r="E34" s="23">
        <f>IF(D34&lt;2100,16/D34,(-1.737*LN(0.269*'펌프동력 계산기'!$B$12/'펌프동력 계산기'!$B$10-(2.185/D34)*LN(0.269*'펌프동력 계산기'!$B$12/'펌프동력 계산기'!$B$10+14.5/D34)))^(-2))</f>
        <v>5.4330868702270304E-3</v>
      </c>
      <c r="F34" s="22">
        <f>2*E34*C34^2*'펌프동력 계산기'!$B$25/'펌프동력 계산기'!$B$10</f>
        <v>2.3370695425185315</v>
      </c>
      <c r="G34" s="22">
        <f>'펌프동력 계산기'!$D$26*(A34*'펌프동력 계산기'!$B$17)/'펌프동력 계산기'!$B$18</f>
        <v>0.36955948911897835</v>
      </c>
      <c r="H34" s="10">
        <f>'펌프동력 계산기'!$B$6*G34*'펌프동력 계산기'!$B$10/'펌프동력 계산기'!$B$7</f>
        <v>21965.137795275597</v>
      </c>
      <c r="I34" s="23">
        <f>IF(H34&lt;2100,16/H34,(-1.737*LN(0.269*'펌프동력 계산기'!$B$12/'펌프동력 계산기'!$B$10-(2.185/H34)*LN(0.269*'펌프동력 계산기'!$B$12/'펌프동력 계산기'!$B$10+14.5/H34)))^(-2))</f>
        <v>6.3662956393261338E-3</v>
      </c>
      <c r="J34" s="22">
        <f>2*I34*G34^2*'펌프동력 계산기'!$B$26/'펌프동력 계산기'!$B$10</f>
        <v>0.17115587317946668</v>
      </c>
      <c r="K34" s="22">
        <f>'펌프동력 계산기'!$D$27*(A34*'펌프동력 계산기'!$B$17)/'펌프동력 계산기'!$B$18</f>
        <v>0.18477974455948917</v>
      </c>
      <c r="L34" s="10">
        <f>'펌프동력 계산기'!$B$6*K34*'펌프동력 계산기'!$B$10/'펌프동력 계산기'!$B$7</f>
        <v>10982.568897637799</v>
      </c>
      <c r="M34" s="23">
        <f>IF(L34&lt;2100,16/L34,(-1.737*LN(0.269*'펌프동력 계산기'!$B$12/'펌프동력 계산기'!$B$10-(2.185/L34)*LN(0.269*'펌프동력 계산기'!$B$12/'펌프동력 계산기'!$B$10+14.5/L34)))^(-2))</f>
        <v>7.5497039822408759E-3</v>
      </c>
      <c r="N34" s="22">
        <f>2*M34*K34^2*'펌프동력 계산기'!$B$27/'펌프동력 계산기'!$B$10</f>
        <v>2.1312000935239241E-2</v>
      </c>
      <c r="O34" s="10">
        <f>'펌프동력 계산기'!$B$6*A34*'펌프동력 계산기'!$B$11/'펌프동력 계산기'!$B$7</f>
        <v>32818.500000000007</v>
      </c>
      <c r="P34" s="23">
        <f>IF(O34&lt;2100,16/O34,(-1.737*LN(0.269*'펌프동력 계산기'!$B$12/'펌프동력 계산기'!$B$11-(2.185/O34)*LN(0.269*'펌프동력 계산기'!$B$12/'펌프동력 계산기'!$B$11+14.5/O34)))^(-2))</f>
        <v>5.8389881042738307E-3</v>
      </c>
      <c r="Q34" s="22">
        <f>2*P34*A34^2*'펌프동력 계산기'!$B$28/'펌프동력 계산기'!$B$11</f>
        <v>12.717316091108401</v>
      </c>
      <c r="R34" s="22">
        <f>'펌프동력 계산기'!$B$13*A34^2/2</f>
        <v>0.68062499999999992</v>
      </c>
      <c r="S34" s="22">
        <f t="shared" si="0"/>
        <v>1.3612499999999998</v>
      </c>
      <c r="T34" s="22">
        <f>'펌프동력 계산기'!$B$8*'펌프동력 계산기'!$B$14</f>
        <v>10.791000000000002</v>
      </c>
      <c r="U34" s="22">
        <f>F34+J34+'펌프동력 계산기'!$H$27+'펌프동력 계산기'!$H$28+'펌프동력 계산기'!$B$32+S34+T34</f>
        <v>118.62047541569801</v>
      </c>
      <c r="V34" s="11">
        <f>'펌프동력 계산기'!$B$6*('펌프동력 계산기'!$D$25*(A34*'펌프동력 계산기'!$B$17))*U34/'펌프동력 계산기'!$B$9</f>
        <v>311.8662949401737</v>
      </c>
    </row>
    <row r="35" spans="1:22">
      <c r="A35" s="9">
        <v>1.7</v>
      </c>
      <c r="B35" s="22">
        <f>'펌프동력 계산기'!$D$25*(A35*'펌프동력 계산기'!$B$17)*1000</f>
        <v>1.5434644707086655</v>
      </c>
      <c r="C35" s="22">
        <f>'펌프동력 계산기'!$D$25*(A35*'펌프동력 계산기'!$B$17)/'펌프동력 계산기'!$B$18</f>
        <v>0.76151652303304629</v>
      </c>
      <c r="D35" s="10">
        <f>'펌프동력 계산기'!$B$6*C35*'펌프동력 계산기'!$B$10/'펌프동력 계산기'!$B$7</f>
        <v>45261.496062992133</v>
      </c>
      <c r="E35" s="23">
        <f>IF(D35&lt;2100,16/D35,(-1.737*LN(0.269*'펌프동력 계산기'!$B$12/'펌프동력 계산기'!$B$10-(2.185/D35)*LN(0.269*'펌프동력 계산기'!$B$12/'펌프동력 계산기'!$B$10+14.5/D35)))^(-2))</f>
        <v>5.3975170637690327E-3</v>
      </c>
      <c r="F35" s="22">
        <f>2*E35*C35^2*'펌프동력 계산기'!$B$25/'펌프동력 계산기'!$B$10</f>
        <v>2.4646143047808606</v>
      </c>
      <c r="G35" s="22">
        <f>'펌프동력 계산기'!$D$26*(A35*'펌프동력 계산기'!$B$17)/'펌프동력 계산기'!$B$18</f>
        <v>0.38075826151652314</v>
      </c>
      <c r="H35" s="10">
        <f>'펌프동력 계산기'!$B$6*G35*'펌프동력 계산기'!$B$10/'펌프동력 계산기'!$B$7</f>
        <v>22630.748031496067</v>
      </c>
      <c r="I35" s="23">
        <f>IF(H35&lt;2100,16/H35,(-1.737*LN(0.269*'펌프동력 계산기'!$B$12/'펌프동력 계산기'!$B$10-(2.185/H35)*LN(0.269*'펌프동력 계산기'!$B$12/'펌프동력 계산기'!$B$10+14.5/H35)))^(-2))</f>
        <v>6.3214566539050235E-3</v>
      </c>
      <c r="J35" s="22">
        <f>2*I35*G35^2*'펌프동력 계산기'!$B$26/'펌프동력 계산기'!$B$10</f>
        <v>0.18040647570212534</v>
      </c>
      <c r="K35" s="22">
        <f>'펌프동력 계산기'!$D$27*(A35*'펌프동력 계산기'!$B$17)/'펌프동력 계산기'!$B$18</f>
        <v>0.19037913075826157</v>
      </c>
      <c r="L35" s="10">
        <f>'펌프동력 계산기'!$B$6*K35*'펌프동력 계산기'!$B$10/'펌프동력 계산기'!$B$7</f>
        <v>11315.374015748033</v>
      </c>
      <c r="M35" s="23">
        <f>IF(L35&lt;2100,16/L35,(-1.737*LN(0.269*'펌프동력 계산기'!$B$12/'펌프동력 계산기'!$B$10-(2.185/L35)*LN(0.269*'펌프동력 계산기'!$B$12/'펌프동력 계산기'!$B$10+14.5/L35)))^(-2))</f>
        <v>7.4925353592979861E-3</v>
      </c>
      <c r="N35" s="22">
        <f>2*M35*K35^2*'펌프동력 계산기'!$B$27/'펌프동력 계산기'!$B$10</f>
        <v>2.2451897890970754E-2</v>
      </c>
      <c r="O35" s="10">
        <f>'펌프동력 계산기'!$B$6*A35*'펌프동력 계산기'!$B$11/'펌프동력 계산기'!$B$7</f>
        <v>33813.000000000007</v>
      </c>
      <c r="P35" s="23">
        <f>IF(O35&lt;2100,16/O35,(-1.737*LN(0.269*'펌프동력 계산기'!$B$12/'펌프동력 계산기'!$B$11-(2.185/O35)*LN(0.269*'펌프동력 계산기'!$B$12/'펌프동력 계산기'!$B$11+14.5/O35)))^(-2))</f>
        <v>5.8004400547972939E-3</v>
      </c>
      <c r="Q35" s="22">
        <f>2*P35*A35^2*'펌프동력 계산기'!$B$28/'펌프동력 계산기'!$B$11</f>
        <v>13.41061740669134</v>
      </c>
      <c r="R35" s="22">
        <f>'펌프동력 계산기'!$B$13*A35^2/2</f>
        <v>0.72249999999999992</v>
      </c>
      <c r="S35" s="22">
        <f t="shared" si="0"/>
        <v>1.4449999999999998</v>
      </c>
      <c r="T35" s="22">
        <f>'펌프동력 계산기'!$B$8*'펌프동력 계산기'!$B$14</f>
        <v>10.791000000000002</v>
      </c>
      <c r="U35" s="22">
        <f>F35+J35+'펌프동력 계산기'!$H$27+'펌프동력 계산기'!$H$28+'펌프동력 계산기'!$B$32+S35+T35</f>
        <v>118.84102078048298</v>
      </c>
      <c r="V35" s="11">
        <f>'펌프동력 계산기'!$B$6*('펌프동력 계산기'!$D$25*(A35*'펌프동력 계산기'!$B$17))*U35/'펌프동력 계산기'!$B$9</f>
        <v>321.9141976316821</v>
      </c>
    </row>
    <row r="36" spans="1:22">
      <c r="A36" s="9">
        <v>1.75</v>
      </c>
      <c r="B36" s="22">
        <f>'펌프동력 계산기'!$D$25*(A36*'펌프동력 계산기'!$B$17)*1000</f>
        <v>1.5888604845530383</v>
      </c>
      <c r="C36" s="22">
        <f>'펌프동력 계산기'!$D$25*(A36*'펌프동력 계산기'!$B$17)/'펌프동력 계산기'!$B$18</f>
        <v>0.78391406782813589</v>
      </c>
      <c r="D36" s="10">
        <f>'펌프동력 계산기'!$B$6*C36*'펌프동력 계산기'!$B$10/'펌프동력 계산기'!$B$7</f>
        <v>46592.716535433086</v>
      </c>
      <c r="E36" s="23">
        <f>IF(D36&lt;2100,16/D36,(-1.737*LN(0.269*'펌프동력 계산기'!$B$12/'펌프동력 계산기'!$B$10-(2.185/D36)*LN(0.269*'펌프동력 계산기'!$B$12/'펌프동력 계산기'!$B$10+14.5/D36)))^(-2))</f>
        <v>5.3633090758091421E-3</v>
      </c>
      <c r="F36" s="22">
        <f>2*E36*C36^2*'펌프동력 계산기'!$B$25/'펌프동력 계산기'!$B$10</f>
        <v>2.595171245523562</v>
      </c>
      <c r="G36" s="22">
        <f>'펌프동력 계산기'!$D$26*(A36*'펌프동력 계산기'!$B$17)/'펌프동력 계산기'!$B$18</f>
        <v>0.39195703391406794</v>
      </c>
      <c r="H36" s="10">
        <f>'펌프동력 계산기'!$B$6*G36*'펌프동력 계산기'!$B$10/'펌프동력 계산기'!$B$7</f>
        <v>23296.358267716543</v>
      </c>
      <c r="I36" s="23">
        <f>IF(H36&lt;2100,16/H36,(-1.737*LN(0.269*'펌프동력 계산기'!$B$12/'펌프동력 계산기'!$B$10-(2.185/H36)*LN(0.269*'펌프동력 계산기'!$B$12/'펌프동력 계산기'!$B$10+14.5/H36)))^(-2))</f>
        <v>6.2783526197636779E-3</v>
      </c>
      <c r="J36" s="22">
        <f>2*I36*G36^2*'펌프동력 계산기'!$B$26/'펌프동력 계산기'!$B$10</f>
        <v>0.18987112198090714</v>
      </c>
      <c r="K36" s="22">
        <f>'펌프동력 계산기'!$D$27*(A36*'펌프동력 계산기'!$B$17)/'펌프동력 계산기'!$B$18</f>
        <v>0.19597851695703397</v>
      </c>
      <c r="L36" s="10">
        <f>'펌프동력 계산기'!$B$6*K36*'펌프동력 계산기'!$B$10/'펌프동력 계산기'!$B$7</f>
        <v>11648.179133858272</v>
      </c>
      <c r="M36" s="23">
        <f>IF(L36&lt;2100,16/L36,(-1.737*LN(0.269*'펌프동력 계산기'!$B$12/'펌프동력 계산기'!$B$10-(2.185/L36)*LN(0.269*'펌프동력 계산기'!$B$12/'펌프동력 계산기'!$B$10+14.5/L36)))^(-2))</f>
        <v>7.4376076769321767E-3</v>
      </c>
      <c r="N36" s="22">
        <f>2*M36*K36^2*'펌프동력 계산기'!$B$27/'펌프동력 계산기'!$B$10</f>
        <v>2.3617600826192218E-2</v>
      </c>
      <c r="O36" s="10">
        <f>'펌프동력 계산기'!$B$6*A36*'펌프동력 계산기'!$B$11/'펌프동력 계산기'!$B$7</f>
        <v>34807.500000000007</v>
      </c>
      <c r="P36" s="23">
        <f>IF(O36&lt;2100,16/O36,(-1.737*LN(0.269*'펌프동력 계산기'!$B$12/'펌프동력 계산기'!$B$11-(2.185/O36)*LN(0.269*'펌프동력 계산기'!$B$12/'펌프동력 계산기'!$B$11+14.5/O36)))^(-2))</f>
        <v>5.7633902277220601E-3</v>
      </c>
      <c r="Q36" s="22">
        <f>2*P36*A36^2*'펌프동력 계산기'!$B$28/'펌프동력 계산기'!$B$11</f>
        <v>14.120306057919045</v>
      </c>
      <c r="R36" s="22">
        <f>'펌프동력 계산기'!$B$13*A36^2/2</f>
        <v>0.765625</v>
      </c>
      <c r="S36" s="22">
        <f t="shared" si="0"/>
        <v>1.53125</v>
      </c>
      <c r="T36" s="22">
        <f>'펌프동력 계산기'!$B$8*'펌프동력 계산기'!$B$14</f>
        <v>10.791000000000002</v>
      </c>
      <c r="U36" s="22">
        <f>F36+J36+'펌프동력 계산기'!$H$27+'펌프동력 계산기'!$H$28+'펌프동력 계산기'!$B$32+S36+T36</f>
        <v>119.06729236750448</v>
      </c>
      <c r="V36" s="11">
        <f>'펌프동력 계산기'!$B$6*('펌프동력 계산기'!$D$25*(A36*'펌프동력 계산기'!$B$17))*U36/'펌프동력 계산기'!$B$9</f>
        <v>332.01320930876733</v>
      </c>
    </row>
    <row r="37" spans="1:22">
      <c r="A37" s="9">
        <v>1.8</v>
      </c>
      <c r="B37" s="22">
        <f>'펌프동력 계산기'!$D$25*(A37*'펌프동력 계산기'!$B$17)*1000</f>
        <v>1.6342564983974108</v>
      </c>
      <c r="C37" s="22">
        <f>'펌프동력 계산기'!$D$25*(A37*'펌프동력 계산기'!$B$17)/'펌프동력 계산기'!$B$18</f>
        <v>0.80631161262322548</v>
      </c>
      <c r="D37" s="10">
        <f>'펌프동력 계산기'!$B$6*C37*'펌프동력 계산기'!$B$10/'펌프동력 계산기'!$B$7</f>
        <v>47923.937007874032</v>
      </c>
      <c r="E37" s="23">
        <f>IF(D37&lt;2100,16/D37,(-1.737*LN(0.269*'펌프동력 계산기'!$B$12/'펌프동력 계산기'!$B$10-(2.185/D37)*LN(0.269*'펌프동력 계산기'!$B$12/'펌프동력 계산기'!$B$10+14.5/D37)))^(-2))</f>
        <v>5.3303735701845335E-3</v>
      </c>
      <c r="F37" s="22">
        <f>2*E37*C37^2*'펌프동력 계산기'!$B$25/'펌프동력 계산기'!$B$10</f>
        <v>2.7287249079357991</v>
      </c>
      <c r="G37" s="22">
        <f>'펌프동력 계산기'!$D$26*(A37*'펌프동력 계산기'!$B$17)/'펌프동력 계산기'!$B$18</f>
        <v>0.40315580631161274</v>
      </c>
      <c r="H37" s="10">
        <f>'펌프동력 계산기'!$B$6*G37*'펌프동력 계산기'!$B$10/'펌프동력 계산기'!$B$7</f>
        <v>23961.968503937016</v>
      </c>
      <c r="I37" s="23">
        <f>IF(H37&lt;2100,16/H37,(-1.737*LN(0.269*'펌프동력 계산기'!$B$12/'펌프동력 계산기'!$B$10-(2.185/H37)*LN(0.269*'펌프동력 계산기'!$B$12/'펌프동력 계산기'!$B$10+14.5/H37)))^(-2))</f>
        <v>6.2368688281621331E-3</v>
      </c>
      <c r="J37" s="22">
        <f>2*I37*G37^2*'펌프동력 계산기'!$B$26/'펌프동력 계산기'!$B$10</f>
        <v>0.19954862326780123</v>
      </c>
      <c r="K37" s="22">
        <f>'펌프동력 계산기'!$D$27*(A37*'펌프동력 계산기'!$B$17)/'펌프동력 계산기'!$B$18</f>
        <v>0.20157790315580637</v>
      </c>
      <c r="L37" s="10">
        <f>'펌프동력 계산기'!$B$6*K37*'펌프동력 계산기'!$B$10/'펌프동력 계산기'!$B$7</f>
        <v>11980.984251968508</v>
      </c>
      <c r="M37" s="23">
        <f>IF(L37&lt;2100,16/L37,(-1.737*LN(0.269*'펌프동력 계산기'!$B$12/'펌프동력 계산기'!$B$10-(2.185/L37)*LN(0.269*'펌프동력 계산기'!$B$12/'펌프동력 계산기'!$B$10+14.5/L37)))^(-2))</f>
        <v>7.3847715334356958E-3</v>
      </c>
      <c r="N37" s="22">
        <f>2*M37*K37^2*'펌프동력 계산기'!$B$27/'펌프동력 계산기'!$B$10</f>
        <v>2.4808955982685232E-2</v>
      </c>
      <c r="O37" s="10">
        <f>'펌프동력 계산기'!$B$6*A37*'펌프동력 계산기'!$B$11/'펌프동력 계산기'!$B$7</f>
        <v>35802.000000000015</v>
      </c>
      <c r="P37" s="23">
        <f>IF(O37&lt;2100,16/O37,(-1.737*LN(0.269*'펌프동력 계산기'!$B$12/'펌프동력 계산기'!$B$11-(2.185/O37)*LN(0.269*'펌프동력 계산기'!$B$12/'펌프동력 계산기'!$B$11+14.5/O37)))^(-2))</f>
        <v>5.7277398363547137E-3</v>
      </c>
      <c r="Q37" s="22">
        <f>2*P37*A37^2*'펌프동력 계산기'!$B$28/'펌프동력 계산기'!$B$11</f>
        <v>14.846301655831418</v>
      </c>
      <c r="R37" s="22">
        <f>'펌프동력 계산기'!$B$13*A37^2/2</f>
        <v>0.81</v>
      </c>
      <c r="S37" s="22">
        <f t="shared" si="0"/>
        <v>1.62</v>
      </c>
      <c r="T37" s="22">
        <f>'펌프동력 계산기'!$B$8*'펌프동력 계산기'!$B$14</f>
        <v>10.791000000000002</v>
      </c>
      <c r="U37" s="22">
        <f>F37+J37+'펌프동력 계산기'!$H$27+'펌프동력 계산기'!$H$28+'펌프동력 계산기'!$B$32+S37+T37</f>
        <v>119.2992735312036</v>
      </c>
      <c r="V37" s="11">
        <f>'펌프동력 계산기'!$B$6*('펌프동력 계산기'!$D$25*(A37*'펌프동력 계산기'!$B$17))*U37/'펌프동력 계산기'!$B$9</f>
        <v>342.16465085441672</v>
      </c>
    </row>
    <row r="38" spans="1:22">
      <c r="A38" s="9">
        <v>1.85</v>
      </c>
      <c r="B38" s="22">
        <f>'펌프동력 계산기'!$D$25*(A38*'펌프동력 계산기'!$B$17)*1000</f>
        <v>1.6796525122417834</v>
      </c>
      <c r="C38" s="22">
        <f>'펌프동력 계산기'!$D$25*(A38*'펌프동력 계산기'!$B$17)/'펌프동력 계산기'!$B$18</f>
        <v>0.82870915741831508</v>
      </c>
      <c r="D38" s="10">
        <f>'펌프동력 계산기'!$B$6*C38*'펌프동력 계산기'!$B$10/'펌프동력 계산기'!$B$7</f>
        <v>49255.157480314978</v>
      </c>
      <c r="E38" s="23">
        <f>IF(D38&lt;2100,16/D38,(-1.737*LN(0.269*'펌프동력 계산기'!$B$12/'펌프동력 계산기'!$B$10-(2.185/D38)*LN(0.269*'펌프동력 계산기'!$B$12/'펌프동력 계산기'!$B$10+14.5/D38)))^(-2))</f>
        <v>5.2986293731592041E-3</v>
      </c>
      <c r="F38" s="22">
        <f>2*E38*C38^2*'펌프동력 계산기'!$B$25/'펌프동력 계산기'!$B$10</f>
        <v>2.8652604000665267</v>
      </c>
      <c r="G38" s="22">
        <f>'펌프동력 계산기'!$D$26*(A38*'펌프동력 계산기'!$B$17)/'펌프동력 계산기'!$B$18</f>
        <v>0.41435457870915754</v>
      </c>
      <c r="H38" s="10">
        <f>'펌프동력 계산기'!$B$6*G38*'펌프동력 계산기'!$B$10/'펌프동력 계산기'!$B$7</f>
        <v>24627.578740157489</v>
      </c>
      <c r="I38" s="23">
        <f>IF(H38&lt;2100,16/H38,(-1.737*LN(0.269*'펌프동력 계산기'!$B$12/'펌프동력 계산기'!$B$10-(2.185/H38)*LN(0.269*'펌프동력 계산기'!$B$12/'펌프동력 계산기'!$B$10+14.5/H38)))^(-2))</f>
        <v>6.1969011109792782E-3</v>
      </c>
      <c r="J38" s="22">
        <f>2*I38*G38^2*'펌프동력 계산기'!$B$26/'펌프동력 계산기'!$B$10</f>
        <v>0.20943783413075703</v>
      </c>
      <c r="K38" s="22">
        <f>'펌프동력 계산기'!$D$27*(A38*'펌프동력 계산기'!$B$17)/'펌프동력 계산기'!$B$18</f>
        <v>0.20717728935457877</v>
      </c>
      <c r="L38" s="10">
        <f>'펌프동력 계산기'!$B$6*K38*'펌프동력 계산기'!$B$10/'펌프동력 계산기'!$B$7</f>
        <v>12313.789370078744</v>
      </c>
      <c r="M38" s="23">
        <f>IF(L38&lt;2100,16/L38,(-1.737*LN(0.269*'펌프동력 계산기'!$B$12/'펌프동력 계산기'!$B$10-(2.185/L38)*LN(0.269*'펌프동력 계산기'!$B$12/'펌프동력 계산기'!$B$10+14.5/L38)))^(-2))</f>
        <v>7.3338913362430477E-3</v>
      </c>
      <c r="N38" s="22">
        <f>2*M38*K38^2*'펌프동력 계산기'!$B$27/'펌프동력 계산기'!$B$10</f>
        <v>2.6025815229103369E-2</v>
      </c>
      <c r="O38" s="10">
        <f>'펌프동력 계산기'!$B$6*A38*'펌프동력 계산기'!$B$11/'펌프동력 계산기'!$B$7</f>
        <v>36796.500000000007</v>
      </c>
      <c r="P38" s="23">
        <f>IF(O38&lt;2100,16/O38,(-1.737*LN(0.269*'펌프동력 계산기'!$B$12/'펌프동력 계산기'!$B$11-(2.185/O38)*LN(0.269*'펌프동력 계산기'!$B$12/'펌프동력 계산기'!$B$11+14.5/O38)))^(-2))</f>
        <v>5.6933991481905753E-3</v>
      </c>
      <c r="Q38" s="22">
        <f>2*P38*A38^2*'펌프동력 계산기'!$B$28/'펌프동력 계산기'!$B$11</f>
        <v>15.588526867745797</v>
      </c>
      <c r="R38" s="22">
        <f>'펌프동력 계산기'!$B$13*A38^2/2</f>
        <v>0.85562500000000008</v>
      </c>
      <c r="S38" s="22">
        <f t="shared" si="0"/>
        <v>1.7112500000000002</v>
      </c>
      <c r="T38" s="22">
        <f>'펌프동력 계산기'!$B$8*'펌프동력 계산기'!$B$14</f>
        <v>10.791000000000002</v>
      </c>
      <c r="U38" s="22">
        <f>F38+J38+'펌프동력 계산기'!$H$27+'펌프동력 계산기'!$H$28+'펌프동력 계산기'!$B$32+S38+T38</f>
        <v>119.5369482341973</v>
      </c>
      <c r="V38" s="11">
        <f>'펌프동력 계산기'!$B$6*('펌프동력 계산기'!$D$25*(A38*'펌프동력 계산기'!$B$17))*U38/'펌프동력 계산기'!$B$9</f>
        <v>352.36983963978599</v>
      </c>
    </row>
    <row r="39" spans="1:22">
      <c r="A39" s="9">
        <v>1.9</v>
      </c>
      <c r="B39" s="22">
        <f>'펌프동력 계산기'!$D$25*(A39*'펌프동력 계산기'!$B$17)*1000</f>
        <v>1.7250485260861557</v>
      </c>
      <c r="C39" s="22">
        <f>'펌프동력 계산기'!$D$25*(A39*'펌프동력 계산기'!$B$17)/'펌프동력 계산기'!$B$18</f>
        <v>0.85110670221340456</v>
      </c>
      <c r="D39" s="10">
        <f>'펌프동력 계산기'!$B$6*C39*'펌프동력 계산기'!$B$10/'펌프동력 계산기'!$B$7</f>
        <v>50586.377952755916</v>
      </c>
      <c r="E39" s="23">
        <f>IF(D39&lt;2100,16/D39,(-1.737*LN(0.269*'펌프동력 계산기'!$B$12/'펌프동력 계산기'!$B$10-(2.185/D39)*LN(0.269*'펌프동력 계산기'!$B$12/'펌프동력 계산기'!$B$10+14.5/D39)))^(-2))</f>
        <v>5.2680025290932275E-3</v>
      </c>
      <c r="F39" s="22">
        <f>2*E39*C39^2*'펌프동력 계산기'!$B$25/'펌프동력 계산기'!$B$10</f>
        <v>3.0047633595009056</v>
      </c>
      <c r="G39" s="22">
        <f>'펌프동력 계산기'!$D$26*(A39*'펌프동력 계산기'!$B$17)/'펌프동력 계산기'!$B$18</f>
        <v>0.42555335110670228</v>
      </c>
      <c r="H39" s="10">
        <f>'펌프동력 계산기'!$B$6*G39*'펌프동력 계산기'!$B$10/'펌프동력 계산기'!$B$7</f>
        <v>25293.188976377958</v>
      </c>
      <c r="I39" s="23">
        <f>IF(H39&lt;2100,16/H39,(-1.737*LN(0.269*'펌프동력 계산기'!$B$12/'펌프동력 계산기'!$B$10-(2.185/H39)*LN(0.269*'펌프동력 계산기'!$B$12/'펌프동력 계산기'!$B$10+14.5/H39)))^(-2))</f>
        <v>6.1583546158239227E-3</v>
      </c>
      <c r="J39" s="22">
        <f>2*I39*G39^2*'펌프동력 계산기'!$B$26/'펌프동력 계산기'!$B$10</f>
        <v>0.21953764973355719</v>
      </c>
      <c r="K39" s="22">
        <f>'펌프동력 계산기'!$D$27*(A39*'펌프동력 계산기'!$B$17)/'펌프동력 계산기'!$B$18</f>
        <v>0.21277667555335114</v>
      </c>
      <c r="L39" s="10">
        <f>'펌프동력 계산기'!$B$6*K39*'펌프동력 계산기'!$B$10/'펌프동력 계산기'!$B$7</f>
        <v>12646.594488188979</v>
      </c>
      <c r="M39" s="23">
        <f>IF(L39&lt;2100,16/L39,(-1.737*LN(0.269*'펌프동력 계산기'!$B$12/'펌프동력 계산기'!$B$10-(2.185/L39)*LN(0.269*'펌프동력 계산기'!$B$12/'펌프동력 계산기'!$B$10+14.5/L39)))^(-2))</f>
        <v>7.2848436900951443E-3</v>
      </c>
      <c r="N39" s="22">
        <f>2*M39*K39^2*'펌프동력 계산기'!$B$27/'펌프동력 계산기'!$B$10</f>
        <v>2.726803570559156E-2</v>
      </c>
      <c r="O39" s="10">
        <f>'펌프동력 계산기'!$B$6*A39*'펌프동력 계산기'!$B$11/'펌프동력 계산기'!$B$7</f>
        <v>37791.000000000007</v>
      </c>
      <c r="P39" s="23">
        <f>IF(O39&lt;2100,16/O39,(-1.737*LN(0.269*'펌프동력 계산기'!$B$12/'펌프동력 계산기'!$B$11-(2.185/O39)*LN(0.269*'펌프동력 계산기'!$B$12/'펌프동력 계산기'!$B$11+14.5/O39)))^(-2))</f>
        <v>5.660286435026269E-3</v>
      </c>
      <c r="Q39" s="22">
        <f>2*P39*A39^2*'펌프동력 계산기'!$B$28/'펌프동력 계산기'!$B$11</f>
        <v>16.34690722435586</v>
      </c>
      <c r="R39" s="22">
        <f>'펌프동력 계산기'!$B$13*A39^2/2</f>
        <v>0.90249999999999997</v>
      </c>
      <c r="S39" s="22">
        <f t="shared" si="0"/>
        <v>1.8049999999999999</v>
      </c>
      <c r="T39" s="22">
        <f>'펌프동력 계산기'!$B$8*'펌프동력 계산기'!$B$14</f>
        <v>10.791000000000002</v>
      </c>
      <c r="U39" s="22">
        <f>F39+J39+'펌프동력 계산기'!$H$27+'펌프동력 계산기'!$H$28+'펌프동력 계산기'!$B$32+S39+T39</f>
        <v>119.78030100923448</v>
      </c>
      <c r="V39" s="11">
        <f>'펌프동력 계산기'!$B$6*('펌프동력 계산기'!$D$25*(A39*'펌프동력 계산기'!$B$17))*U39/'펌프동력 계산기'!$B$9</f>
        <v>362.63008965128864</v>
      </c>
    </row>
    <row r="40" spans="1:22">
      <c r="A40" s="9">
        <v>1.95</v>
      </c>
      <c r="B40" s="22">
        <f>'펌프동력 계산기'!$D$25*(A40*'펌프동력 계산기'!$B$17)*1000</f>
        <v>1.7704445399305282</v>
      </c>
      <c r="C40" s="22">
        <f>'펌프동력 계산기'!$D$25*(A40*'펌프동력 계산기'!$B$17)/'펌프동력 계산기'!$B$18</f>
        <v>0.87350424700849416</v>
      </c>
      <c r="D40" s="10">
        <f>'펌프동력 계산기'!$B$6*C40*'펌프동력 계산기'!$B$10/'펌프동력 계산기'!$B$7</f>
        <v>51917.598425196855</v>
      </c>
      <c r="E40" s="23">
        <f>IF(D40&lt;2100,16/D40,(-1.737*LN(0.269*'펌프동력 계산기'!$B$12/'펌프동력 계산기'!$B$10-(2.185/D40)*LN(0.269*'펌프동력 계산기'!$B$12/'펌프동력 계산기'!$B$10+14.5/D40)))^(-2))</f>
        <v>5.2384254871047278E-3</v>
      </c>
      <c r="F40" s="22">
        <f>2*E40*C40^2*'펌프동력 계산기'!$B$25/'펌프동력 계산기'!$B$10</f>
        <v>3.1472199211303318</v>
      </c>
      <c r="G40" s="22">
        <f>'펌프동력 계산기'!$D$26*(A40*'펌프동력 계산기'!$B$17)/'펌프동력 계산기'!$B$18</f>
        <v>0.43675212350424708</v>
      </c>
      <c r="H40" s="10">
        <f>'펌프동력 계산기'!$B$6*G40*'펌프동력 계산기'!$B$10/'펌프동력 계산기'!$B$7</f>
        <v>25958.799212598427</v>
      </c>
      <c r="I40" s="23">
        <f>IF(H40&lt;2100,16/H40,(-1.737*LN(0.269*'펌프동력 계산기'!$B$12/'펌프동력 계산기'!$B$10-(2.185/H40)*LN(0.269*'펌프동력 계산기'!$B$12/'펌프동력 계산기'!$B$10+14.5/H40)))^(-2))</f>
        <v>6.1211427516687589E-3</v>
      </c>
      <c r="J40" s="22">
        <f>2*I40*G40^2*'펌프동력 계산기'!$B$26/'펌프동력 계산기'!$B$10</f>
        <v>0.22984700335479488</v>
      </c>
      <c r="K40" s="22">
        <f>'펌프동력 계산기'!$D$27*(A40*'펌프동력 계산기'!$B$17)/'펌프동력 계산기'!$B$18</f>
        <v>0.21837606175212354</v>
      </c>
      <c r="L40" s="10">
        <f>'펌프동력 계산기'!$B$6*K40*'펌프동력 계산기'!$B$10/'펌프동력 계산기'!$B$7</f>
        <v>12979.399606299214</v>
      </c>
      <c r="M40" s="23">
        <f>IF(L40&lt;2100,16/L40,(-1.737*LN(0.269*'펌프동력 계산기'!$B$12/'펌프동력 계산기'!$B$10-(2.185/L40)*LN(0.269*'펌프동력 계산기'!$B$12/'펌프동력 계산기'!$B$10+14.5/L40)))^(-2))</f>
        <v>7.2375160103835242E-3</v>
      </c>
      <c r="N40" s="22">
        <f>2*M40*K40^2*'펌프동력 계산기'!$B$27/'펌프동력 계산기'!$B$10</f>
        <v>2.8535479499784015E-2</v>
      </c>
      <c r="O40" s="10">
        <f>'펌프동력 계산기'!$B$6*A40*'펌프동력 계산기'!$B$11/'펌프동력 계산기'!$B$7</f>
        <v>38785.5</v>
      </c>
      <c r="P40" s="23">
        <f>IF(O40&lt;2100,16/O40,(-1.737*LN(0.269*'펌프동력 계산기'!$B$12/'펌프동력 계산기'!$B$11-(2.185/O40)*LN(0.269*'펌프동력 계산기'!$B$12/'펌프동력 계산기'!$B$11+14.5/O40)))^(-2))</f>
        <v>5.6283270689671643E-3</v>
      </c>
      <c r="Q40" s="22">
        <f>2*P40*A40^2*'펌프동력 계산기'!$B$28/'펌프동력 계산기'!$B$11</f>
        <v>17.121370943798109</v>
      </c>
      <c r="R40" s="22">
        <f>'펌프동력 계산기'!$B$13*A40^2/2</f>
        <v>0.95062499999999994</v>
      </c>
      <c r="S40" s="22">
        <f t="shared" si="0"/>
        <v>1.9012499999999999</v>
      </c>
      <c r="T40" s="22">
        <f>'펌프동력 계산기'!$B$8*'펌프동력 계산기'!$B$14</f>
        <v>10.791000000000002</v>
      </c>
      <c r="U40" s="22">
        <f>F40+J40+'펌프동력 계산기'!$H$27+'펌프동력 계산기'!$H$28+'펌프동력 계산기'!$B$32+S40+T40</f>
        <v>120.02931692448513</v>
      </c>
      <c r="V40" s="11">
        <f>'펌프동력 계산기'!$B$6*('펌프동력 계산기'!$D$25*(A40*'펌프동력 계산기'!$B$17))*U40/'펌프동력 계산기'!$B$9</f>
        <v>372.94671160985763</v>
      </c>
    </row>
    <row r="41" spans="1:22">
      <c r="A41" s="9">
        <v>2</v>
      </c>
      <c r="B41" s="22">
        <f>'펌프동력 계산기'!$D$25*(A41*'펌프동력 계산기'!$B$17)*1000</f>
        <v>1.8158405537749007</v>
      </c>
      <c r="C41" s="22">
        <f>'펌프동력 계산기'!$D$25*(A41*'펌프동력 계산기'!$B$17)/'펌프동력 계산기'!$B$18</f>
        <v>0.89590179180358387</v>
      </c>
      <c r="D41" s="10">
        <f>'펌프동력 계산기'!$B$6*C41*'펌프동력 계산기'!$B$10/'펌프동력 계산기'!$B$7</f>
        <v>53248.818897637808</v>
      </c>
      <c r="E41" s="23">
        <f>IF(D41&lt;2100,16/D41,(-1.737*LN(0.269*'펌프동력 계산기'!$B$12/'펌프동력 계산기'!$B$10-(2.185/D41)*LN(0.269*'펌프동력 계산기'!$B$12/'펌프동력 계산기'!$B$10+14.5/D41)))^(-2))</f>
        <v>5.209836397693941E-3</v>
      </c>
      <c r="F41" s="22">
        <f>2*E41*C41^2*'펌프동력 계산기'!$B$25/'펌프동력 계산기'!$B$10</f>
        <v>3.2926166876716576</v>
      </c>
      <c r="G41" s="22">
        <f>'펌프동력 계산기'!$D$26*(A41*'펌프동력 계산기'!$B$17)/'펌프동력 계산기'!$B$18</f>
        <v>0.44795089590179193</v>
      </c>
      <c r="H41" s="10">
        <f>'펌프동력 계산기'!$B$6*G41*'펌프동력 계산기'!$B$10/'펌프동력 계산기'!$B$7</f>
        <v>26624.409448818904</v>
      </c>
      <c r="I41" s="23">
        <f>IF(H41&lt;2100,16/H41,(-1.737*LN(0.269*'펌프동력 계산기'!$B$12/'펌프동력 계산기'!$B$10-(2.185/H41)*LN(0.269*'펌프동력 계산기'!$B$12/'펌프동력 계산기'!$B$10+14.5/H41)))^(-2))</f>
        <v>6.0851862775476153E-3</v>
      </c>
      <c r="J41" s="22">
        <f>2*I41*G41^2*'펌프동력 계산기'!$B$26/'펌프동력 계산기'!$B$10</f>
        <v>0.2403648641192527</v>
      </c>
      <c r="K41" s="22">
        <f>'펌프동력 계산기'!$D$27*(A41*'펌프동력 계산기'!$B$17)/'펌프동력 계산기'!$B$18</f>
        <v>0.22397544795089597</v>
      </c>
      <c r="L41" s="10">
        <f>'펌프동력 계산기'!$B$6*K41*'펌프동력 계산기'!$B$10/'펌프동력 계산기'!$B$7</f>
        <v>13312.204724409452</v>
      </c>
      <c r="M41" s="23">
        <f>IF(L41&lt;2100,16/L41,(-1.737*LN(0.269*'펌프동력 계산기'!$B$12/'펌프동력 계산기'!$B$10-(2.185/L41)*LN(0.269*'펌프동력 계산기'!$B$12/'펌프동력 계산기'!$B$10+14.5/L41)))^(-2))</f>
        <v>7.191805325309491E-3</v>
      </c>
      <c r="N41" s="22">
        <f>2*M41*K41^2*'펌프동력 계산기'!$B$27/'펌프동력 계산기'!$B$10</f>
        <v>2.9828013350663405E-2</v>
      </c>
      <c r="O41" s="10">
        <f>'펌프동력 계산기'!$B$6*A41*'펌프동력 계산기'!$B$11/'펌프동력 계산기'!$B$7</f>
        <v>39780.000000000007</v>
      </c>
      <c r="P41" s="23">
        <f>IF(O41&lt;2100,16/O41,(-1.737*LN(0.269*'펌프동력 계산기'!$B$12/'펌프동력 계산기'!$B$11-(2.185/O41)*LN(0.269*'펌프동력 계산기'!$B$12/'펌프동력 계산기'!$B$11+14.5/O41)))^(-2))</f>
        <v>5.597452740872283E-3</v>
      </c>
      <c r="Q41" s="22">
        <f>2*P41*A41^2*'펌프동력 계산기'!$B$28/'펌프동력 계산기'!$B$11</f>
        <v>17.911848770791302</v>
      </c>
      <c r="R41" s="22">
        <f>'펌프동력 계산기'!$B$13*A41^2/2</f>
        <v>1</v>
      </c>
      <c r="S41" s="22">
        <f t="shared" si="0"/>
        <v>2</v>
      </c>
      <c r="T41" s="22">
        <f>'펌프동력 계산기'!$B$8*'펌프동력 계산기'!$B$14</f>
        <v>10.791000000000002</v>
      </c>
      <c r="U41" s="22">
        <f>F41+J41+'펌프동력 계산기'!$H$27+'펌프동력 계산기'!$H$28+'펌프동력 계산기'!$B$32+S41+T41</f>
        <v>120.2839815517909</v>
      </c>
      <c r="V41" s="11">
        <f>'펌프동력 계산기'!$B$6*('펌프동력 계산기'!$D$25*(A41*'펌프동력 계산기'!$B$17))*U41/'펌프동력 계산기'!$B$9</f>
        <v>383.32101308305062</v>
      </c>
    </row>
    <row r="42" spans="1:22">
      <c r="A42" s="9">
        <v>2.0499999999999998</v>
      </c>
      <c r="B42" s="22">
        <f>'펌프동력 계산기'!$D$25*(A42*'펌프동력 계산기'!$B$17)*1000</f>
        <v>1.861236567619273</v>
      </c>
      <c r="C42" s="22">
        <f>'펌프동력 계산기'!$D$25*(A42*'펌프동력 계산기'!$B$17)/'펌프동력 계산기'!$B$18</f>
        <v>0.91829933659867335</v>
      </c>
      <c r="D42" s="10">
        <f>'펌프동력 계산기'!$B$6*C42*'펌프동력 계산기'!$B$10/'펌프동력 계산기'!$B$7</f>
        <v>54580.039370078754</v>
      </c>
      <c r="E42" s="23">
        <f>IF(D42&lt;2100,16/D42,(-1.737*LN(0.269*'펌프동력 계산기'!$B$12/'펌프동력 계산기'!$B$10-(2.185/D42)*LN(0.269*'펌프동력 계산기'!$B$12/'펌프동력 계산기'!$B$10+14.5/D42)))^(-2))</f>
        <v>5.1821785021112787E-3</v>
      </c>
      <c r="F42" s="22">
        <f>2*E42*C42^2*'펌프동력 계산기'!$B$25/'펌프동력 계산기'!$B$10</f>
        <v>3.4409407026372758</v>
      </c>
      <c r="G42" s="22">
        <f>'펌프동력 계산기'!$D$26*(A42*'펌프동력 계산기'!$B$17)/'펌프동력 계산기'!$B$18</f>
        <v>0.45914966829933668</v>
      </c>
      <c r="H42" s="10">
        <f>'펌프동력 계산기'!$B$6*G42*'펌프동력 계산기'!$B$10/'펌프동력 계산기'!$B$7</f>
        <v>27290.019685039377</v>
      </c>
      <c r="I42" s="23">
        <f>IF(H42&lt;2100,16/H42,(-1.737*LN(0.269*'펌프동력 계산기'!$B$12/'펌프동력 계산기'!$B$10-(2.185/H42)*LN(0.269*'펌프동력 계산기'!$B$12/'펌프동력 계산기'!$B$10+14.5/H42)))^(-2))</f>
        <v>6.050412511847251E-3</v>
      </c>
      <c r="J42" s="22">
        <f>2*I42*G42^2*'펌프동력 계산기'!$B$26/'펌프동력 계산기'!$B$10</f>
        <v>0.25109023491856636</v>
      </c>
      <c r="K42" s="22">
        <f>'펌프동력 계산기'!$D$27*(A42*'펌프동력 계산기'!$B$17)/'펌프동력 계산기'!$B$18</f>
        <v>0.22957483414966834</v>
      </c>
      <c r="L42" s="10">
        <f>'펌프동력 계산기'!$B$6*K42*'펌프동력 계산기'!$B$10/'펌프동력 계산기'!$B$7</f>
        <v>13645.009842519688</v>
      </c>
      <c r="M42" s="23">
        <f>IF(L42&lt;2100,16/L42,(-1.737*LN(0.269*'펌프동력 계산기'!$B$12/'펌프동력 계산기'!$B$10-(2.185/L42)*LN(0.269*'펌프동력 계산기'!$B$12/'펌프동력 계산기'!$B$10+14.5/L42)))^(-2))</f>
        <v>7.1476172371184171E-3</v>
      </c>
      <c r="N42" s="22">
        <f>2*M42*K42^2*'펌프동력 계산기'!$B$27/'펌프동력 계산기'!$B$10</f>
        <v>3.1145508377238316E-2</v>
      </c>
      <c r="O42" s="10">
        <f>'펌프동력 계산기'!$B$6*A42*'펌프동력 계산기'!$B$11/'펌프동력 계산기'!$B$7</f>
        <v>40774.500000000007</v>
      </c>
      <c r="P42" s="23">
        <f>IF(O42&lt;2100,16/O42,(-1.737*LN(0.269*'펌프동력 계산기'!$B$12/'펌프동력 계산기'!$B$11-(2.185/O42)*LN(0.269*'펌프동력 계산기'!$B$12/'펌프동력 계산기'!$B$11+14.5/O42)))^(-2))</f>
        <v>5.5676007820371614E-3</v>
      </c>
      <c r="Q42" s="22">
        <f>2*P42*A42^2*'펌프동력 계산기'!$B$28/'펌프동력 계산기'!$B$11</f>
        <v>18.718273829208933</v>
      </c>
      <c r="R42" s="22">
        <f>'펌프동력 계산기'!$B$13*A42^2/2</f>
        <v>1.0506249999999999</v>
      </c>
      <c r="S42" s="22">
        <f t="shared" si="0"/>
        <v>2.1012499999999998</v>
      </c>
      <c r="T42" s="22">
        <f>'펌프동력 계산기'!$B$8*'펌프동력 계산기'!$B$14</f>
        <v>10.791000000000002</v>
      </c>
      <c r="U42" s="22">
        <f>F42+J42+'펌프동력 계산기'!$H$27+'펌프동력 계산기'!$H$28+'펌프동력 계산기'!$B$32+S42+T42</f>
        <v>120.54428093755584</v>
      </c>
      <c r="V42" s="11">
        <f>'펌프동력 계산기'!$B$6*('펌프동력 계산기'!$D$25*(A42*'펌프동력 계산기'!$B$17))*U42/'펌프동력 계산기'!$B$9</f>
        <v>393.75429859060387</v>
      </c>
    </row>
    <row r="43" spans="1:22">
      <c r="A43" s="9">
        <v>2.1</v>
      </c>
      <c r="B43" s="22">
        <f>'펌프동력 계산기'!$D$25*(A43*'펌프동력 계산기'!$B$17)*1000</f>
        <v>1.9066325814636458</v>
      </c>
      <c r="C43" s="22">
        <f>'펌프동력 계산기'!$D$25*(A43*'펌프동력 계산기'!$B$17)/'펌프동력 계산기'!$B$18</f>
        <v>0.94069688139376306</v>
      </c>
      <c r="D43" s="10">
        <f>'펌프동력 계산기'!$B$6*C43*'펌프동력 계산기'!$B$10/'펌프동력 계산기'!$B$7</f>
        <v>55911.259842519699</v>
      </c>
      <c r="E43" s="23">
        <f>IF(D43&lt;2100,16/D43,(-1.737*LN(0.269*'펌프동력 계산기'!$B$12/'펌프동력 계산기'!$B$10-(2.185/D43)*LN(0.269*'펌프동력 계산기'!$B$12/'펌프동력 계산기'!$B$10+14.5/D43)))^(-2))</f>
        <v>5.1553996002976239E-3</v>
      </c>
      <c r="F43" s="22">
        <f>2*E43*C43^2*'펌프동력 계산기'!$B$25/'펌프동력 계산기'!$B$10</f>
        <v>3.5921794254967381</v>
      </c>
      <c r="G43" s="22">
        <f>'펌프동력 계산기'!$D$26*(A43*'펌프동력 계산기'!$B$17)/'펌프동력 계산기'!$B$18</f>
        <v>0.47034844069688153</v>
      </c>
      <c r="H43" s="10">
        <f>'펌프동력 계산기'!$B$6*G43*'펌프동력 계산기'!$B$10/'펌프동력 계산기'!$B$7</f>
        <v>27955.62992125985</v>
      </c>
      <c r="I43" s="23">
        <f>IF(H43&lt;2100,16/H43,(-1.737*LN(0.269*'펌프동력 계산기'!$B$12/'펌프동력 계산기'!$B$10-(2.185/H43)*LN(0.269*'펌프동력 계산기'!$B$12/'펌프동력 계산기'!$B$10+14.5/H43)))^(-2))</f>
        <v>6.0167546437103758E-3</v>
      </c>
      <c r="J43" s="22">
        <f>2*I43*G43^2*'펌프동력 계산기'!$B$26/'펌프동력 계산기'!$B$10</f>
        <v>0.26202215050108124</v>
      </c>
      <c r="K43" s="22">
        <f>'펌프동력 계산기'!$D$27*(A43*'펌프동력 계산기'!$B$17)/'펌프동력 계산기'!$B$18</f>
        <v>0.23517422034844077</v>
      </c>
      <c r="L43" s="10">
        <f>'펌프동력 계산기'!$B$6*K43*'펌프동력 계산기'!$B$10/'펌프동력 계산기'!$B$7</f>
        <v>13977.814960629925</v>
      </c>
      <c r="M43" s="23">
        <f>IF(L43&lt;2100,16/L43,(-1.737*LN(0.269*'펌프동력 계산기'!$B$12/'펌프동력 계산기'!$B$10-(2.185/L43)*LN(0.269*'펌프동력 계산기'!$B$12/'펌프동력 계산기'!$B$10+14.5/L43)))^(-2))</f>
        <v>7.1048650179572391E-3</v>
      </c>
      <c r="N43" s="22">
        <f>2*M43*K43^2*'펌프동력 계산기'!$B$27/'펌프동력 계산기'!$B$10</f>
        <v>3.2487839829394981E-2</v>
      </c>
      <c r="O43" s="10">
        <f>'펌프동력 계산기'!$B$6*A43*'펌프동력 계산기'!$B$11/'펌프동력 계산기'!$B$7</f>
        <v>41769.000000000007</v>
      </c>
      <c r="P43" s="23">
        <f>IF(O43&lt;2100,16/O43,(-1.737*LN(0.269*'펌프동력 계산기'!$B$12/'펌프동력 계산기'!$B$11-(2.185/O43)*LN(0.269*'펌프동력 계산기'!$B$12/'펌프동력 계산기'!$B$11+14.5/O43)))^(-2))</f>
        <v>5.538713573315996E-3</v>
      </c>
      <c r="Q43" s="22">
        <f>2*P43*A43^2*'펌프동력 계산기'!$B$28/'펌프동력 계산기'!$B$11</f>
        <v>19.54058148665883</v>
      </c>
      <c r="R43" s="22">
        <f>'펌프동력 계산기'!$B$13*A43^2/2</f>
        <v>1.1025</v>
      </c>
      <c r="S43" s="22">
        <f t="shared" si="0"/>
        <v>2.2050000000000001</v>
      </c>
      <c r="T43" s="22">
        <f>'펌프동력 계산기'!$B$8*'펌프동력 계산기'!$B$14</f>
        <v>10.791000000000002</v>
      </c>
      <c r="U43" s="22">
        <f>F43+J43+'펌프동력 계산기'!$H$27+'펌프동력 계산기'!$H$28+'펌프동력 계산기'!$B$32+S43+T43</f>
        <v>120.81020157599782</v>
      </c>
      <c r="V43" s="11">
        <f>'펌프동력 계산기'!$B$6*('펌프동력 계산기'!$D$25*(A43*'펌프동력 계산기'!$B$17))*U43/'펌프동력 계산기'!$B$9</f>
        <v>404.24786970396923</v>
      </c>
    </row>
    <row r="44" spans="1:22">
      <c r="A44" s="9">
        <v>2.15</v>
      </c>
      <c r="B44" s="22">
        <f>'펌프동력 계산기'!$D$25*(A44*'펌프동력 계산기'!$B$17)*1000</f>
        <v>1.9520285953080181</v>
      </c>
      <c r="C44" s="22">
        <f>'펌프동력 계산기'!$D$25*(A44*'펌프동력 계산기'!$B$17)/'펌프동력 계산기'!$B$18</f>
        <v>0.96309442618885255</v>
      </c>
      <c r="D44" s="10">
        <f>'펌프동력 계산기'!$B$6*C44*'펌프동력 계산기'!$B$10/'펌프동력 계산기'!$B$7</f>
        <v>57242.480314960645</v>
      </c>
      <c r="E44" s="23">
        <f>IF(D44&lt;2100,16/D44,(-1.737*LN(0.269*'펌프동력 계산기'!$B$12/'펌프동력 계산기'!$B$10-(2.185/D44)*LN(0.269*'펌프동력 계산기'!$B$12/'펌프동력 계산기'!$B$10+14.5/D44)))^(-2))</f>
        <v>5.1294515856732227E-3</v>
      </c>
      <c r="F44" s="22">
        <f>2*E44*C44^2*'펌프동력 계산기'!$B$25/'펌프동력 계산기'!$B$10</f>
        <v>3.746320708803526</v>
      </c>
      <c r="G44" s="22">
        <f>'펌프동력 계산기'!$D$26*(A44*'펌프동력 계산기'!$B$17)/'펌프동력 계산기'!$B$18</f>
        <v>0.48154721309442627</v>
      </c>
      <c r="H44" s="10">
        <f>'펌프동력 계산기'!$B$6*G44*'펌프동력 계산기'!$B$10/'펌프동력 계산기'!$B$7</f>
        <v>28621.240157480323</v>
      </c>
      <c r="I44" s="23">
        <f>IF(H44&lt;2100,16/H44,(-1.737*LN(0.269*'펌프동력 계산기'!$B$12/'펌프동력 계산기'!$B$10-(2.185/H44)*LN(0.269*'펌프동력 계산기'!$B$12/'펌프동력 계산기'!$B$10+14.5/H44)))^(-2))</f>
        <v>5.9841511312679696E-3</v>
      </c>
      <c r="J44" s="22">
        <f>2*I44*G44^2*'펌프동력 계산기'!$B$26/'펌프동력 계산기'!$B$10</f>
        <v>0.27315967571337463</v>
      </c>
      <c r="K44" s="22">
        <f>'펌프동력 계산기'!$D$27*(A44*'펌프동력 계산기'!$B$17)/'펌프동력 계산기'!$B$18</f>
        <v>0.24077360654721314</v>
      </c>
      <c r="L44" s="10">
        <f>'펌프동력 계산기'!$B$6*K44*'펌프동력 계산기'!$B$10/'펌프동력 계산기'!$B$7</f>
        <v>14310.620078740161</v>
      </c>
      <c r="M44" s="23">
        <f>IF(L44&lt;2100,16/L44,(-1.737*LN(0.269*'펌프동력 계산기'!$B$12/'펌프동력 계산기'!$B$10-(2.185/L44)*LN(0.269*'펌프동력 계산기'!$B$12/'펌프동력 계산기'!$B$10+14.5/L44)))^(-2))</f>
        <v>7.0634688201486303E-3</v>
      </c>
      <c r="N44" s="22">
        <f>2*M44*K44^2*'펌프동력 계산기'!$B$27/'펌프동력 계산기'!$B$10</f>
        <v>3.3854886858618316E-2</v>
      </c>
      <c r="O44" s="10">
        <f>'펌프동력 계산기'!$B$6*A44*'펌프동력 계산기'!$B$11/'펌프동력 계산기'!$B$7</f>
        <v>42763.500000000007</v>
      </c>
      <c r="P44" s="23">
        <f>IF(O44&lt;2100,16/O44,(-1.737*LN(0.269*'펌프동력 계산기'!$B$12/'펌프동력 계산기'!$B$11-(2.185/O44)*LN(0.269*'펌프동력 계산기'!$B$12/'펌프동력 계산기'!$B$11+14.5/O44)))^(-2))</f>
        <v>5.5107380286172148E-3</v>
      </c>
      <c r="Q44" s="22">
        <f>2*P44*A44^2*'펌프동력 계산기'!$B$28/'펌프동력 계산기'!$B$11</f>
        <v>20.378709229826455</v>
      </c>
      <c r="R44" s="22">
        <f>'펌프동력 계산기'!$B$13*A44^2/2</f>
        <v>1.1556249999999999</v>
      </c>
      <c r="S44" s="22">
        <f t="shared" si="0"/>
        <v>2.3112499999999998</v>
      </c>
      <c r="T44" s="22">
        <f>'펌프동력 계산기'!$B$8*'펌프동력 계산기'!$B$14</f>
        <v>10.791000000000002</v>
      </c>
      <c r="U44" s="22">
        <f>F44+J44+'펌프동력 계산기'!$H$27+'펌프동력 계산기'!$H$28+'펌프동력 계산기'!$B$32+S44+T44</f>
        <v>121.0817303845169</v>
      </c>
      <c r="V44" s="11">
        <f>'펌프동력 계산기'!$B$6*('펌프동력 계산기'!$D$25*(A44*'펌프동력 계산기'!$B$17))*U44/'펌프동력 계산기'!$B$9</f>
        <v>414.80302514031695</v>
      </c>
    </row>
    <row r="45" spans="1:22">
      <c r="A45" s="9">
        <v>2.2000000000000002</v>
      </c>
      <c r="B45" s="22">
        <f>'펌프동력 계산기'!$D$25*(A45*'펌프동력 계산기'!$B$17)*1000</f>
        <v>1.9974246091523911</v>
      </c>
      <c r="C45" s="22">
        <f>'펌프동력 계산기'!$D$25*(A45*'펌프동력 계산기'!$B$17)/'펌프동력 계산기'!$B$18</f>
        <v>0.98549197098394237</v>
      </c>
      <c r="D45" s="10">
        <f>'펌프동력 계산기'!$B$6*C45*'펌프동력 계산기'!$B$10/'펌프동력 계산기'!$B$7</f>
        <v>58573.700787401598</v>
      </c>
      <c r="E45" s="23">
        <f>IF(D45&lt;2100,16/D45,(-1.737*LN(0.269*'펌프동력 계산기'!$B$12/'펌프동력 계산기'!$B$10-(2.185/D45)*LN(0.269*'펌프동력 계산기'!$B$12/'펌프동력 계산기'!$B$10+14.5/D45)))^(-2))</f>
        <v>5.1042900370304196E-3</v>
      </c>
      <c r="F45" s="22">
        <f>2*E45*C45^2*'펌프동력 계산기'!$B$25/'펌프동력 계산기'!$B$10</f>
        <v>3.9033527770889012</v>
      </c>
      <c r="G45" s="22">
        <f>'펌프동력 계산기'!$D$26*(A45*'펌프동력 계산기'!$B$17)/'펌프동력 계산기'!$B$18</f>
        <v>0.49274598549197118</v>
      </c>
      <c r="H45" s="10">
        <f>'펌프동력 계산기'!$B$6*G45*'펌프동력 계산기'!$B$10/'펌프동력 계산기'!$B$7</f>
        <v>29286.850393700799</v>
      </c>
      <c r="I45" s="23">
        <f>IF(H45&lt;2100,16/H45,(-1.737*LN(0.269*'펌프동력 계산기'!$B$12/'펌프동력 계산기'!$B$10-(2.185/H45)*LN(0.269*'펌프동력 계산기'!$B$12/'펌프동력 계산기'!$B$10+14.5/H45)))^(-2))</f>
        <v>5.9525451740049711E-3</v>
      </c>
      <c r="J45" s="22">
        <f>2*I45*G45^2*'펌프동력 계산기'!$B$26/'펌프동력 계산기'!$B$10</f>
        <v>0.28450190387810848</v>
      </c>
      <c r="K45" s="22">
        <f>'펌프동력 계산기'!$D$27*(A45*'펌프동력 계산기'!$B$17)/'펌프동력 계산기'!$B$18</f>
        <v>0.24637299274598559</v>
      </c>
      <c r="L45" s="10">
        <f>'펌프동력 계산기'!$B$6*K45*'펌프동력 계산기'!$B$10/'펌프동력 계산기'!$B$7</f>
        <v>14643.4251968504</v>
      </c>
      <c r="M45" s="23">
        <f>IF(L45&lt;2100,16/L45,(-1.737*LN(0.269*'펌프동력 계산기'!$B$12/'펌프동력 계산기'!$B$10-(2.185/L45)*LN(0.269*'펌프동력 계산기'!$B$12/'펌프동력 계산기'!$B$10+14.5/L45)))^(-2))</f>
        <v>7.0233549841030168E-3</v>
      </c>
      <c r="N45" s="22">
        <f>2*M45*K45^2*'펌프동력 계산기'!$B$27/'펌프동력 계산기'!$B$10</f>
        <v>3.5246532306565471E-2</v>
      </c>
      <c r="O45" s="10">
        <f>'펌프동력 계산기'!$B$6*A45*'펌프동력 계산기'!$B$11/'펌프동력 계산기'!$B$7</f>
        <v>43758.000000000007</v>
      </c>
      <c r="P45" s="23">
        <f>IF(O45&lt;2100,16/O45,(-1.737*LN(0.269*'펌프동력 계산기'!$B$12/'펌프동력 계산기'!$B$11-(2.185/O45)*LN(0.269*'펌프동력 계산기'!$B$12/'펌프동력 계산기'!$B$11+14.5/O45)))^(-2))</f>
        <v>5.4836251419145814E-3</v>
      </c>
      <c r="Q45" s="22">
        <f>2*P45*A45^2*'펌프동력 계산기'!$B$28/'펌프동력 계산기'!$B$11</f>
        <v>21.232596549493262</v>
      </c>
      <c r="R45" s="22">
        <f>'펌프동력 계산기'!$B$13*A45^2/2</f>
        <v>1.2100000000000002</v>
      </c>
      <c r="S45" s="22">
        <f t="shared" si="0"/>
        <v>2.4200000000000004</v>
      </c>
      <c r="T45" s="22">
        <f>'펌프동력 계산기'!$B$8*'펌프동력 계산기'!$B$14</f>
        <v>10.791000000000002</v>
      </c>
      <c r="U45" s="22">
        <f>F45+J45+'펌프동력 계산기'!$H$27+'펌프동력 계산기'!$H$28+'펌프동력 계산기'!$B$32+S45+T45</f>
        <v>121.35885468096701</v>
      </c>
      <c r="V45" s="11">
        <f>'펌프동력 계산기'!$B$6*('펌프동력 계산기'!$D$25*(A45*'펌프동력 계산기'!$B$17))*U45/'펌프동력 계산기'!$B$9</f>
        <v>425.4210608514382</v>
      </c>
    </row>
    <row r="46" spans="1:22">
      <c r="A46" s="9">
        <v>2.25</v>
      </c>
      <c r="B46" s="22">
        <f>'펌프동력 계산기'!$D$25*(A46*'펌프동력 계산기'!$B$17)*1000</f>
        <v>2.0428206229967634</v>
      </c>
      <c r="C46" s="22">
        <f>'펌프동력 계산기'!$D$25*(A46*'펌프동력 계산기'!$B$17)/'펌프동력 계산기'!$B$18</f>
        <v>1.007889515779032</v>
      </c>
      <c r="D46" s="10">
        <f>'펌프동력 계산기'!$B$6*C46*'펌프동력 계산기'!$B$10/'펌프동력 계산기'!$B$7</f>
        <v>59904.921259842544</v>
      </c>
      <c r="E46" s="23">
        <f>IF(D46&lt;2100,16/D46,(-1.737*LN(0.269*'펌프동력 계산기'!$B$12/'펌프동력 계산기'!$B$10-(2.185/D46)*LN(0.269*'펌프동력 계산기'!$B$12/'펌프동력 계산기'!$B$10+14.5/D46)))^(-2))</f>
        <v>5.0798738593931369E-3</v>
      </c>
      <c r="F46" s="22">
        <f>2*E46*C46^2*'펌프동력 계산기'!$B$25/'펌프동력 계산기'!$B$10</f>
        <v>4.0632642073486664</v>
      </c>
      <c r="G46" s="22">
        <f>'펌프동력 계산기'!$D$26*(A46*'펌프동력 계산기'!$B$17)/'펌프동력 계산기'!$B$18</f>
        <v>0.50394475788951598</v>
      </c>
      <c r="H46" s="10">
        <f>'펌프동력 계산기'!$B$6*G46*'펌프동력 계산기'!$B$10/'펌프동력 계산기'!$B$7</f>
        <v>29952.460629921272</v>
      </c>
      <c r="I46" s="23">
        <f>IF(H46&lt;2100,16/H46,(-1.737*LN(0.269*'펌프동력 계산기'!$B$12/'펌프동력 계산기'!$B$10-(2.185/H46)*LN(0.269*'펌프동력 계산기'!$B$12/'펌프동력 계산기'!$B$10+14.5/H46)))^(-2))</f>
        <v>5.9218842486635486E-3</v>
      </c>
      <c r="J46" s="22">
        <f>2*I46*G46^2*'펌프동력 계산기'!$B$26/'펌프동력 계산기'!$B$10</f>
        <v>0.29604795529473815</v>
      </c>
      <c r="K46" s="22">
        <f>'펌프동력 계산기'!$D$27*(A46*'펌프동력 계산기'!$B$17)/'펌프동력 계산기'!$B$18</f>
        <v>0.25197237894475799</v>
      </c>
      <c r="L46" s="10">
        <f>'펌프동력 계산기'!$B$6*K46*'펌프동력 계산기'!$B$10/'펌프동력 계산기'!$B$7</f>
        <v>14976.230314960636</v>
      </c>
      <c r="M46" s="23">
        <f>IF(L46&lt;2100,16/L46,(-1.737*LN(0.269*'펌프동력 계산기'!$B$12/'펌프동력 계산기'!$B$10-(2.185/L46)*LN(0.269*'펌프동력 계산기'!$B$12/'펌프동력 계산기'!$B$10+14.5/L46)))^(-2))</f>
        <v>6.9844554298720647E-3</v>
      </c>
      <c r="N46" s="22">
        <f>2*M46*K46^2*'펌프동력 계산기'!$B$27/'펌프동력 계산기'!$B$10</f>
        <v>3.6662662509721923E-2</v>
      </c>
      <c r="O46" s="10">
        <f>'펌프동력 계산기'!$B$6*A46*'펌프동력 계산기'!$B$11/'펌프동력 계산기'!$B$7</f>
        <v>44752.500000000007</v>
      </c>
      <c r="P46" s="23">
        <f>IF(O46&lt;2100,16/O46,(-1.737*LN(0.269*'펌프동력 계산기'!$B$12/'펌프동력 계산기'!$B$11-(2.185/O46)*LN(0.269*'펌프동력 계산기'!$B$12/'펌프동력 계산기'!$B$11+14.5/O46)))^(-2))</f>
        <v>5.4573295887096569E-3</v>
      </c>
      <c r="Q46" s="22">
        <f>2*P46*A46^2*'펌프동력 계산기'!$B$28/'펌프동력 계산기'!$B$11</f>
        <v>22.102184834274109</v>
      </c>
      <c r="R46" s="22">
        <f>'펌프동력 계산기'!$B$13*A46^2/2</f>
        <v>1.265625</v>
      </c>
      <c r="S46" s="22">
        <f t="shared" si="0"/>
        <v>2.53125</v>
      </c>
      <c r="T46" s="22">
        <f>'펌프동력 계산기'!$B$8*'펌프동력 계산기'!$B$14</f>
        <v>10.791000000000002</v>
      </c>
      <c r="U46" s="22">
        <f>F46+J46+'펌프동력 계산기'!$H$27+'펌프동력 계산기'!$H$28+'펌프동력 계산기'!$B$32+S46+T46</f>
        <v>121.6415621626434</v>
      </c>
      <c r="V46" s="11">
        <f>'펌프동력 계산기'!$B$6*('펌프동력 계산기'!$D$25*(A46*'펌프동력 계산기'!$B$17))*U46/'펌프동력 계산기'!$B$9</f>
        <v>436.10327010793071</v>
      </c>
    </row>
    <row r="47" spans="1:22">
      <c r="A47" s="9">
        <v>2.2999999999999998</v>
      </c>
      <c r="B47" s="22">
        <f>'펌프동력 계산기'!$D$25*(A47*'펌프동력 계산기'!$B$17)*1000</f>
        <v>2.0882166368411359</v>
      </c>
      <c r="C47" s="22">
        <f>'펌프동력 계산기'!$D$25*(A47*'펌프동력 계산기'!$B$17)/'펌프동력 계산기'!$B$18</f>
        <v>1.0302870605741214</v>
      </c>
      <c r="D47" s="10">
        <f>'펌프동력 계산기'!$B$6*C47*'펌프동력 계산기'!$B$10/'펌프동력 계산기'!$B$7</f>
        <v>61236.14173228349</v>
      </c>
      <c r="E47" s="23">
        <f>IF(D47&lt;2100,16/D47,(-1.737*LN(0.269*'펌프동력 계산기'!$B$12/'펌프동력 계산기'!$B$10-(2.185/D47)*LN(0.269*'펌프동력 계산기'!$B$12/'펌프동력 계산기'!$B$10+14.5/D47)))^(-2))</f>
        <v>5.0561649670191082E-3</v>
      </c>
      <c r="F47" s="22">
        <f>2*E47*C47^2*'펌프동력 계산기'!$B$25/'펌프동력 계산기'!$B$10</f>
        <v>4.2260439109695369</v>
      </c>
      <c r="G47" s="22">
        <f>'펌프동력 계산기'!$D$26*(A47*'펌프동력 계산기'!$B$17)/'펌프동력 계산기'!$B$18</f>
        <v>0.51514353028706072</v>
      </c>
      <c r="H47" s="10">
        <f>'펌프동력 계산기'!$B$6*G47*'펌프동력 계산기'!$B$10/'펌프동력 계산기'!$B$7</f>
        <v>30618.070866141745</v>
      </c>
      <c r="I47" s="23">
        <f>IF(H47&lt;2100,16/H47,(-1.737*LN(0.269*'펌프동력 계산기'!$B$12/'펌프동력 계산기'!$B$10-(2.185/H47)*LN(0.269*'펌프동력 계산기'!$B$12/'펌프동력 계산기'!$B$10+14.5/H47)))^(-2))</f>
        <v>5.8921196998023657E-3</v>
      </c>
      <c r="J47" s="22">
        <f>2*I47*G47^2*'펌프동력 계산기'!$B$26/'펌프동력 계산기'!$B$10</f>
        <v>0.30779697585121507</v>
      </c>
      <c r="K47" s="22">
        <f>'펌프동력 계산기'!$D$27*(A47*'펌프동력 계산기'!$B$17)/'펌프동력 계산기'!$B$18</f>
        <v>0.25757176514353036</v>
      </c>
      <c r="L47" s="10">
        <f>'펌프동력 계산기'!$B$6*K47*'펌프동력 계산기'!$B$10/'펌프동력 계산기'!$B$7</f>
        <v>15309.035433070872</v>
      </c>
      <c r="M47" s="23">
        <f>IF(L47&lt;2100,16/L47,(-1.737*LN(0.269*'펌프동력 계산기'!$B$12/'펌프동력 계산기'!$B$10-(2.185/L47)*LN(0.269*'펌프동력 계산기'!$B$12/'펌프동력 계산기'!$B$10+14.5/L47)))^(-2))</f>
        <v>6.9467071206170935E-3</v>
      </c>
      <c r="N47" s="22">
        <f>2*M47*K47^2*'펌프동력 계산기'!$B$27/'펌프동력 계산기'!$B$10</f>
        <v>3.8103167118581291E-2</v>
      </c>
      <c r="O47" s="10">
        <f>'펌프동력 계산기'!$B$6*A47*'펌프동력 계산기'!$B$11/'펌프동력 계산기'!$B$7</f>
        <v>45747.000000000007</v>
      </c>
      <c r="P47" s="23">
        <f>IF(O47&lt;2100,16/O47,(-1.737*LN(0.269*'펌프동력 계산기'!$B$12/'펌프동력 계산기'!$B$11-(2.185/O47)*LN(0.269*'펌프동력 계산기'!$B$12/'펌프동력 계산기'!$B$11+14.5/O47)))^(-2))</f>
        <v>5.431809374345899E-3</v>
      </c>
      <c r="Q47" s="22">
        <f>2*P47*A47^2*'펌프동력 계산기'!$B$28/'펌프동력 계산기'!$B$11</f>
        <v>22.987417272231841</v>
      </c>
      <c r="R47" s="22">
        <f>'펌프동력 계산기'!$B$13*A47^2/2</f>
        <v>1.3224999999999998</v>
      </c>
      <c r="S47" s="22">
        <f t="shared" si="0"/>
        <v>2.6449999999999996</v>
      </c>
      <c r="T47" s="22">
        <f>'펌프동력 계산기'!$B$8*'펌프동력 계산기'!$B$14</f>
        <v>10.791000000000002</v>
      </c>
      <c r="U47" s="22">
        <f>F47+J47+'펌프동력 계산기'!$H$27+'펌프동력 계산기'!$H$28+'펌프동력 계산기'!$B$32+S47+T47</f>
        <v>121.92984088682074</v>
      </c>
      <c r="V47" s="11">
        <f>'펌프동력 계산기'!$B$6*('펌프동력 계산기'!$D$25*(A47*'펌프동력 계산기'!$B$17))*U47/'펌프동력 계산기'!$B$9</f>
        <v>446.85094357902659</v>
      </c>
    </row>
    <row r="48" spans="1:22">
      <c r="A48" s="9">
        <v>2.35</v>
      </c>
      <c r="B48" s="22">
        <f>'펌프동력 계산기'!$D$25*(A48*'펌프동력 계산기'!$B$17)*1000</f>
        <v>2.1336126506855084</v>
      </c>
      <c r="C48" s="22">
        <f>'펌프동력 계산기'!$D$25*(A48*'펌프동력 계산기'!$B$17)/'펌프동력 계산기'!$B$18</f>
        <v>1.0526846053692112</v>
      </c>
      <c r="D48" s="10">
        <f>'펌프동력 계산기'!$B$6*C48*'펌프동력 계산기'!$B$10/'펌프동력 계산기'!$B$7</f>
        <v>62567.362204724435</v>
      </c>
      <c r="E48" s="23">
        <f>IF(D48&lt;2100,16/D48,(-1.737*LN(0.269*'펌프동력 계산기'!$B$12/'펌프동력 계산기'!$B$10-(2.185/D48)*LN(0.269*'펌프동력 계산기'!$B$12/'펌프동력 계산기'!$B$10+14.5/D48)))^(-2))</f>
        <v>5.0331280027982239E-3</v>
      </c>
      <c r="F48" s="22">
        <f>2*E48*C48^2*'펌프동력 계산기'!$B$25/'펌프동력 계산기'!$B$10</f>
        <v>4.3916811169594601</v>
      </c>
      <c r="G48" s="22">
        <f>'펌프동력 계산기'!$D$26*(A48*'펌프동력 계산기'!$B$17)/'펌프동력 계산기'!$B$18</f>
        <v>0.52634230268460558</v>
      </c>
      <c r="H48" s="10">
        <f>'펌프동력 계산기'!$B$6*G48*'펌프동력 계산기'!$B$10/'펌프동력 계산기'!$B$7</f>
        <v>31283.681102362218</v>
      </c>
      <c r="I48" s="23">
        <f>IF(H48&lt;2100,16/H48,(-1.737*LN(0.269*'펌프동력 계산기'!$B$12/'펌프동력 계산기'!$B$10-(2.185/H48)*LN(0.269*'펌프동력 계산기'!$B$12/'펌프동력 계산기'!$B$10+14.5/H48)))^(-2))</f>
        <v>5.8632063775362359E-3</v>
      </c>
      <c r="J48" s="22">
        <f>2*I48*G48^2*'펌프동력 계산기'!$B$26/'펌프동력 계산기'!$B$10</f>
        <v>0.31974813573619792</v>
      </c>
      <c r="K48" s="22">
        <f>'펌프동력 계산기'!$D$27*(A48*'펌프동력 계산기'!$B$17)/'펌프동력 계산기'!$B$18</f>
        <v>0.26317115134230279</v>
      </c>
      <c r="L48" s="10">
        <f>'펌프동력 계산기'!$B$6*K48*'펌프동력 계산기'!$B$10/'펌프동력 계산기'!$B$7</f>
        <v>15641.840551181109</v>
      </c>
      <c r="M48" s="23">
        <f>IF(L48&lt;2100,16/L48,(-1.737*LN(0.269*'펌프동력 계산기'!$B$12/'펌프동력 계산기'!$B$10-(2.185/L48)*LN(0.269*'펌프동력 계산기'!$B$12/'펌프동력 계산기'!$B$10+14.5/L48)))^(-2))</f>
        <v>6.9100515881269304E-3</v>
      </c>
      <c r="N48" s="22">
        <f>2*M48*K48^2*'펌프동력 계산기'!$B$27/'펌프동력 계산기'!$B$10</f>
        <v>3.9567938929972096E-2</v>
      </c>
      <c r="O48" s="10">
        <f>'펌프동력 계산기'!$B$6*A48*'펌프동력 계산기'!$B$11/'펌프동력 계산기'!$B$7</f>
        <v>46741.500000000007</v>
      </c>
      <c r="P48" s="23">
        <f>IF(O48&lt;2100,16/O48,(-1.737*LN(0.269*'펌프동력 계산기'!$B$12/'펌프동력 계산기'!$B$11-(2.185/O48)*LN(0.269*'펌프동력 계산기'!$B$12/'펌프동력 계산기'!$B$11+14.5/O48)))^(-2))</f>
        <v>5.4070255227760483E-3</v>
      </c>
      <c r="Q48" s="22">
        <f>2*P48*A48^2*'펌프동력 계산기'!$B$28/'펌프동력 계산기'!$B$11</f>
        <v>23.888238759624585</v>
      </c>
      <c r="R48" s="22">
        <f>'펌프동력 계산기'!$B$13*A48^2/2</f>
        <v>1.3806250000000002</v>
      </c>
      <c r="S48" s="22">
        <f t="shared" si="0"/>
        <v>2.7612500000000004</v>
      </c>
      <c r="T48" s="22">
        <f>'펌프동력 계산기'!$B$8*'펌프동력 계산기'!$B$14</f>
        <v>10.791000000000002</v>
      </c>
      <c r="U48" s="22">
        <f>F48+J48+'펌프동력 계산기'!$H$27+'펌프동력 계산기'!$H$28+'펌프동력 계산기'!$B$32+S48+T48</f>
        <v>122.22367925269567</v>
      </c>
      <c r="V48" s="11">
        <f>'펌프동력 계산기'!$B$6*('펌프동력 계산기'!$D$25*(A48*'펌프동력 계산기'!$B$17))*U48/'펌프동력 계산기'!$B$9</f>
        <v>457.66536940837329</v>
      </c>
    </row>
    <row r="49" spans="1:22">
      <c r="A49" s="9">
        <v>2.4</v>
      </c>
      <c r="B49" s="22">
        <f>'펌프동력 계산기'!$D$25*(A49*'펌프동력 계산기'!$B$17)*1000</f>
        <v>2.179008664529881</v>
      </c>
      <c r="C49" s="22">
        <f>'펌프동력 계산기'!$D$25*(A49*'펌프동력 계산기'!$B$17)/'펌프동력 계산기'!$B$18</f>
        <v>1.0750821501643006</v>
      </c>
      <c r="D49" s="10">
        <f>'펌프동력 계산기'!$B$6*C49*'펌프동력 계산기'!$B$10/'펌프동력 계산기'!$B$7</f>
        <v>63898.582677165381</v>
      </c>
      <c r="E49" s="23">
        <f>IF(D49&lt;2100,16/D49,(-1.737*LN(0.269*'펌프동력 계산기'!$B$12/'펌프동력 계산기'!$B$10-(2.185/D49)*LN(0.269*'펌프동력 계산기'!$B$12/'펌프동력 계산기'!$B$10+14.5/D49)))^(-2))</f>
        <v>5.0107300891886475E-3</v>
      </c>
      <c r="F49" s="22">
        <f>2*E49*C49^2*'펌프동력 계산기'!$B$25/'펌프동력 계산기'!$B$10</f>
        <v>4.5601653563618045</v>
      </c>
      <c r="G49" s="22">
        <f>'펌프동력 계산기'!$D$26*(A49*'펌프동력 계산기'!$B$17)/'펌프동력 계산기'!$B$18</f>
        <v>0.53754107508215032</v>
      </c>
      <c r="H49" s="10">
        <f>'펌프동력 계산기'!$B$6*G49*'펌프동력 계산기'!$B$10/'펌프동력 계산기'!$B$7</f>
        <v>31949.291338582691</v>
      </c>
      <c r="I49" s="23">
        <f>IF(H49&lt;2100,16/H49,(-1.737*LN(0.269*'펌프동력 계산기'!$B$12/'펌프동력 계산기'!$B$10-(2.185/H49)*LN(0.269*'펌프동력 계산기'!$B$12/'펌프동력 계산기'!$B$10+14.5/H49)))^(-2))</f>
        <v>5.8351023161390169E-3</v>
      </c>
      <c r="J49" s="22">
        <f>2*I49*G49^2*'펌프동력 계산기'!$B$26/'펌프동력 계산기'!$B$10</f>
        <v>0.3319006282424839</v>
      </c>
      <c r="K49" s="22">
        <f>'펌프동력 계산기'!$D$27*(A49*'펌프동력 계산기'!$B$17)/'펌프동력 계산기'!$B$18</f>
        <v>0.26877053754107516</v>
      </c>
      <c r="L49" s="10">
        <f>'펌프동력 계산기'!$B$6*K49*'펌프동력 계산기'!$B$10/'펌프동력 계산기'!$B$7</f>
        <v>15974.645669291345</v>
      </c>
      <c r="M49" s="23">
        <f>IF(L49&lt;2100,16/L49,(-1.737*LN(0.269*'펌프동력 계산기'!$B$12/'펌프동력 계산기'!$B$10-(2.185/L49)*LN(0.269*'펌프동력 계산기'!$B$12/'펌프동력 계산기'!$B$10+14.5/L49)))^(-2))</f>
        <v>6.874434512052361E-3</v>
      </c>
      <c r="N49" s="22">
        <f>2*M49*K49^2*'펌프동력 계산기'!$B$27/'펌프동력 계산기'!$B$10</f>
        <v>4.1056873731312574E-2</v>
      </c>
      <c r="O49" s="10">
        <f>'펌프동력 계산기'!$B$6*A49*'펌프동력 계산기'!$B$11/'펌프동력 계산기'!$B$7</f>
        <v>47736.000000000007</v>
      </c>
      <c r="P49" s="23">
        <f>IF(O49&lt;2100,16/O49,(-1.737*LN(0.269*'펌프동력 계산기'!$B$12/'펌프동력 계산기'!$B$11-(2.185/O49)*LN(0.269*'펌프동력 계산기'!$B$12/'펌프동력 계산기'!$B$11+14.5/O49)))^(-2))</f>
        <v>5.3829418003747288E-3</v>
      </c>
      <c r="Q49" s="22">
        <f>2*P49*A49^2*'펌프동력 계산기'!$B$28/'펌프동력 계산기'!$B$11</f>
        <v>24.804595816126746</v>
      </c>
      <c r="R49" s="22">
        <f>'펌프동력 계산기'!$B$13*A49^2/2</f>
        <v>1.44</v>
      </c>
      <c r="S49" s="22">
        <f t="shared" si="0"/>
        <v>2.88</v>
      </c>
      <c r="T49" s="22">
        <f>'펌프동력 계산기'!$B$8*'펌프동력 계산기'!$B$14</f>
        <v>10.791000000000002</v>
      </c>
      <c r="U49" s="22">
        <f>F49+J49+'펌프동력 계산기'!$H$27+'펌프동력 계산기'!$H$28+'펌프동력 계산기'!$B$32+S49+T49</f>
        <v>122.52306598460427</v>
      </c>
      <c r="V49" s="11">
        <f>'펌프동력 계산기'!$B$6*('펌프동력 계산기'!$D$25*(A49*'펌프동력 계산기'!$B$17))*U49/'펌프동력 계산기'!$B$9</f>
        <v>468.54783328605936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펌프동력 계산기</vt:lpstr>
      <vt:lpstr>유속 스윕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동현 윤</cp:lastModifiedBy>
  <cp:revision>1</cp:revision>
  <dcterms:created xsi:type="dcterms:W3CDTF">2026-05-31T17:55:28Z</dcterms:created>
  <dcterms:modified xsi:type="dcterms:W3CDTF">2026-06-02T18:39:41Z</dcterms:modified>
  <dc:language>en-US</dc:language>
</cp:coreProperties>
</file>